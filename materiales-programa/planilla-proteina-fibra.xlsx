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 objetivo" sheetId="1" state="visible" r:id="rId1"/>
    <sheet name="Mi día" sheetId="2" state="visible" r:id="rId2"/>
    <sheet name="Alimentos" sheetId="3" state="visible" r:id="rId3"/>
    <sheet name="Fuentes" sheetId="4" state="visible" r:id="rId4"/>
    <sheet name="Lista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Lora"/>
      <b val="1"/>
      <color rgb="000E3A2F"/>
      <sz val="18"/>
    </font>
    <font>
      <name val="Poppins"/>
      <i val="1"/>
      <color rgb="001A2421"/>
      <sz val="10"/>
    </font>
    <font>
      <name val="Poppins"/>
      <b val="1"/>
      <color rgb="00F8F9FA"/>
      <sz val="10"/>
    </font>
    <font>
      <name val="Poppins"/>
      <b val="1"/>
      <color rgb="001A2421"/>
      <sz val="10"/>
    </font>
    <font>
      <name val="Poppins"/>
      <color rgb="001A2421"/>
      <sz val="10"/>
    </font>
    <font>
      <name val="Lora"/>
      <b val="1"/>
      <color rgb="000E3A2F"/>
      <sz val="14"/>
    </font>
    <font>
      <name val="Lora"/>
      <b val="1"/>
      <color rgb="00E65F2B"/>
      <sz val="12"/>
    </font>
  </fonts>
  <fills count="5">
    <fill>
      <patternFill/>
    </fill>
    <fill>
      <patternFill patternType="gray125"/>
    </fill>
    <fill>
      <patternFill patternType="solid">
        <fgColor rgb="000E3A2F"/>
      </patternFill>
    </fill>
    <fill>
      <patternFill patternType="solid">
        <fgColor rgb="00FFF6D6"/>
      </patternFill>
    </fill>
    <fill>
      <patternFill patternType="solid">
        <fgColor rgb="00EAF1EE"/>
      </patternFill>
    </fill>
  </fills>
  <borders count="6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  <border>
      <left/>
      <right/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/>
      <diagonal/>
    </border>
    <border>
      <left/>
      <right/>
      <top style="thin">
        <color rgb="00C9D3CF"/>
      </top>
      <bottom style="thin">
        <color rgb="00C9D3CF"/>
      </bottom>
      <diagonal/>
    </border>
    <border>
      <left/>
      <right style="thin">
        <color rgb="00C9D3CF"/>
      </right>
      <top style="thin">
        <color rgb="00C9D3CF"/>
      </top>
      <bottom style="thin">
        <color rgb="00C9D3C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4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4" borderId="1" pivotButton="0" quotePrefix="0" xfId="0"/>
    <xf numFmtId="0" fontId="7" fillId="0" borderId="0" pivotButton="0" quotePrefix="0" xfId="0"/>
    <xf numFmtId="0" fontId="0" fillId="3" borderId="1" pivotButton="0" quotePrefix="0" xfId="0"/>
    <xf numFmtId="0" fontId="5" fillId="0" borderId="1" pivotButton="0" quotePrefix="0" xfId="0"/>
    <xf numFmtId="0" fontId="4" fillId="4" borderId="0" pivotButton="0" quotePrefix="0" xfId="0"/>
    <xf numFmtId="0" fontId="3" fillId="2" borderId="0" pivotButton="0" quotePrefix="0" xfId="0"/>
    <xf numFmtId="0" fontId="6" fillId="0" borderId="0" pivotButton="0" quotePrefix="0" xfId="0"/>
    <xf numFmtId="9" fontId="6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FE6DA"/>
        </patternFill>
      </fill>
    </dxf>
    <dxf>
      <fill>
        <patternFill patternType="solid">
          <fgColor rgb="00FBD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60" customWidth="1" min="4" max="4"/>
  </cols>
  <sheetData>
    <row r="1">
      <c r="A1" s="1" t="inlineStr">
        <is>
          <t>Cuánta proteína y fibra necesitas</t>
        </is>
      </c>
    </row>
    <row r="2">
      <c r="A2" s="2" t="inlineStr">
        <is>
          <t>Completa las celdas amarillas. La planilla calcula tu objetivo diario; en la hoja Mi día puedes armar un día de comidas y ver si llegas.</t>
        </is>
      </c>
    </row>
    <row r="4">
      <c r="A4" s="3" t="inlineStr">
        <is>
          <t>Tus datos</t>
        </is>
      </c>
      <c r="B4" s="3" t="inlineStr"/>
      <c r="C4" s="3" t="inlineStr"/>
      <c r="D4" s="3" t="inlineStr"/>
    </row>
    <row r="5">
      <c r="A5" s="4" t="inlineStr">
        <is>
          <t>Sexo</t>
        </is>
      </c>
      <c r="B5" s="5" t="inlineStr">
        <is>
          <t>Mujer</t>
        </is>
      </c>
    </row>
    <row r="6">
      <c r="A6" s="4" t="inlineStr">
        <is>
          <t>Edad (años)</t>
        </is>
      </c>
      <c r="B6" s="5" t="n">
        <v>60</v>
      </c>
    </row>
    <row r="7">
      <c r="A7" s="4" t="inlineStr">
        <is>
          <t>Peso (kg)</t>
        </is>
      </c>
      <c r="B7" s="5" t="n">
        <v>70</v>
      </c>
    </row>
    <row r="8">
      <c r="A8" s="4" t="inlineStr">
        <is>
          <t>Estatura (cm)</t>
        </is>
      </c>
      <c r="B8" s="5" t="n">
        <v>165</v>
      </c>
    </row>
    <row r="9">
      <c r="A9" s="4" t="inlineStr">
        <is>
          <t>Actividad física</t>
        </is>
      </c>
      <c r="B9" s="5" t="inlineStr">
        <is>
          <t>Moderada (3 a 5 días a la semana)</t>
        </is>
      </c>
      <c r="C9" s="6" t="n"/>
      <c r="D9" s="7" t="n"/>
    </row>
    <row r="10">
      <c r="A10" s="4" t="inlineStr">
        <is>
          <t>Perfil de proteína</t>
        </is>
      </c>
      <c r="B10" s="5" t="inlineStr">
        <is>
          <t>Mayor de 60, activo o entrenando fuerza (1,2 g/kg)</t>
        </is>
      </c>
      <c r="C10" s="6" t="n"/>
      <c r="D10" s="7" t="n"/>
    </row>
    <row r="12">
      <c r="A12" s="3" t="inlineStr">
        <is>
          <t>Tu objetivo diario</t>
        </is>
      </c>
      <c r="B12" s="3" t="inlineStr">
        <is>
          <t>Valor</t>
        </is>
      </c>
      <c r="C12" s="3" t="inlineStr">
        <is>
          <t>Nivel</t>
        </is>
      </c>
      <c r="D12" s="3" t="inlineStr">
        <is>
          <t>De dónde sale</t>
        </is>
      </c>
    </row>
    <row r="13" ht="32" customHeight="1">
      <c r="A13" s="4" t="inlineStr">
        <is>
          <t>Índice de masa corporal</t>
        </is>
      </c>
      <c r="B13" s="8">
        <f>ROUND(B7/(B8/100)^2,1)</f>
        <v/>
      </c>
      <c r="C13" s="9" t="inlineStr"/>
      <c r="D13" s="10" t="inlineStr">
        <is>
          <t>Si es 30 o más, el cálculo por kilo sobreestima: conversa con tu médico o nutricionista qué peso usar.</t>
        </is>
      </c>
    </row>
    <row r="14" ht="32" customHeight="1">
      <c r="A14" s="4" t="inlineStr">
        <is>
          <t>Energía estimada (kcal al día)</t>
        </is>
      </c>
      <c r="B14" s="8">
        <f>ROUND((10*B7+6.25*B8-5*B6+IF(B5="Hombre",5,-161))*VLOOKUP(B9,Listas!$A$2:$B$5,2,FALSE),0)</f>
        <v/>
      </c>
      <c r="C14" s="9" t="inlineStr">
        <is>
          <t>C</t>
        </is>
      </c>
      <c r="D14" s="10" t="inlineStr">
        <is>
          <t>Ecuación de Mifflin-St Jeor por el factor de actividad. Es una estimación, no una medición.</t>
        </is>
      </c>
    </row>
    <row r="15" ht="32" customHeight="1">
      <c r="A15" s="4" t="inlineStr">
        <is>
          <t>Proteína: objetivo del día (g)</t>
        </is>
      </c>
      <c r="B15" s="11">
        <f>ROUND(B7*VLOOKUP(B10,Listas!$C$2:$E$6,2,FALSE),0)</f>
        <v/>
      </c>
      <c r="C15" s="9">
        <f>VLOOKUP(B10,Listas!$C$2:$E$6,3,FALSE)</f>
        <v/>
      </c>
      <c r="D15" s="10" t="inlineStr">
        <is>
          <t>Según el perfil que elegiste. Ver la tabla de perfiles más abajo.</t>
        </is>
      </c>
    </row>
    <row r="16" ht="32" customHeight="1">
      <c r="A16" s="4" t="inlineStr">
        <is>
          <t>Proteína: mínimo oficial (g)</t>
        </is>
      </c>
      <c r="B16" s="8">
        <f>ROUND(B7*0.8,0)</f>
        <v/>
      </c>
      <c r="C16" s="9" t="inlineStr">
        <is>
          <t>G</t>
        </is>
      </c>
      <c r="D16" s="10" t="inlineStr">
        <is>
          <t>0,8 g por kilo: ingesta recomendada para adultos (IOM). Evita la carencia, no es un óptimo para mayores.</t>
        </is>
      </c>
    </row>
    <row r="17" ht="32" customHeight="1">
      <c r="A17" s="4" t="inlineStr">
        <is>
          <t>Proteína por comida principal (g)</t>
        </is>
      </c>
      <c r="B17" s="8">
        <f>ROUND(MAX(25,B15/3),0)</f>
        <v/>
      </c>
      <c r="C17" s="9" t="inlineStr">
        <is>
          <t>C</t>
        </is>
      </c>
      <c r="D17" s="10" t="inlineStr">
        <is>
          <t>Repartida en tres comidas de al menos 25 a 30 g, en vez de concentrarla en una (PROT-AGE, ESPEN).</t>
        </is>
      </c>
    </row>
    <row r="18" ht="32" customHeight="1">
      <c r="A18" s="4" t="inlineStr">
        <is>
          <t>Fibra: objetivo del día (g)</t>
        </is>
      </c>
      <c r="B18" s="11">
        <f>ROUND(B14/1000*14,0)</f>
        <v/>
      </c>
      <c r="C18" s="9" t="inlineStr">
        <is>
          <t>G</t>
        </is>
      </c>
      <c r="D18" s="10" t="inlineStr">
        <is>
          <t>14 g por cada 1.000 kcal (IOM, base de las guías dietarias de EE. UU.).</t>
        </is>
      </c>
    </row>
    <row r="19" ht="32" customHeight="1">
      <c r="A19" s="4" t="inlineStr">
        <is>
          <t>Fibra: referencia por edad y sexo (g)</t>
        </is>
      </c>
      <c r="B19" s="8">
        <f>IF(B5="Hombre",IF(B6&gt;50,30,38),IF(B6&gt;50,21,25))</f>
        <v/>
      </c>
      <c r="C19" s="9" t="inlineStr">
        <is>
          <t>G</t>
        </is>
      </c>
      <c r="D19" s="10" t="inlineStr">
        <is>
          <t>Ingesta adecuada del IOM para tu edad y sexo. La OMS pide al menos 25 g al día a todos los adultos.</t>
        </is>
      </c>
    </row>
    <row r="21">
      <c r="A21" s="3" t="inlineStr">
        <is>
          <t>Perfiles de proteína</t>
        </is>
      </c>
      <c r="B21" s="3" t="inlineStr">
        <is>
          <t>g por kilo</t>
        </is>
      </c>
      <c r="C21" s="3" t="inlineStr">
        <is>
          <t>Nivel</t>
        </is>
      </c>
      <c r="D21" s="3" t="inlineStr">
        <is>
          <t>Fuente</t>
        </is>
      </c>
    </row>
    <row r="22" ht="30" customHeight="1">
      <c r="A22" s="9">
        <f>Listas!C2</f>
        <v/>
      </c>
      <c r="B22" s="9">
        <f>Listas!D2</f>
        <v/>
      </c>
      <c r="C22" s="9">
        <f>Listas!E2</f>
        <v/>
      </c>
      <c r="D22" s="10">
        <f>Listas!F2</f>
        <v/>
      </c>
    </row>
    <row r="23" ht="30" customHeight="1">
      <c r="A23" s="9">
        <f>Listas!C3</f>
        <v/>
      </c>
      <c r="B23" s="9">
        <f>Listas!D3</f>
        <v/>
      </c>
      <c r="C23" s="9">
        <f>Listas!E3</f>
        <v/>
      </c>
      <c r="D23" s="10">
        <f>Listas!F3</f>
        <v/>
      </c>
    </row>
    <row r="24" ht="30" customHeight="1">
      <c r="A24" s="9">
        <f>Listas!C4</f>
        <v/>
      </c>
      <c r="B24" s="9">
        <f>Listas!D4</f>
        <v/>
      </c>
      <c r="C24" s="9">
        <f>Listas!E4</f>
        <v/>
      </c>
      <c r="D24" s="10">
        <f>Listas!F4</f>
        <v/>
      </c>
    </row>
    <row r="25" ht="30" customHeight="1">
      <c r="A25" s="9">
        <f>Listas!C5</f>
        <v/>
      </c>
      <c r="B25" s="9">
        <f>Listas!D5</f>
        <v/>
      </c>
      <c r="C25" s="9">
        <f>Listas!E5</f>
        <v/>
      </c>
      <c r="D25" s="10">
        <f>Listas!F5</f>
        <v/>
      </c>
    </row>
    <row r="26" ht="30" customHeight="1">
      <c r="A26" s="9">
        <f>Listas!C6</f>
        <v/>
      </c>
      <c r="B26" s="9">
        <f>Listas!D6</f>
        <v/>
      </c>
      <c r="C26" s="9">
        <f>Listas!E6</f>
        <v/>
      </c>
      <c r="D26" s="10">
        <f>Listas!F6</f>
        <v/>
      </c>
    </row>
    <row r="28">
      <c r="A28" s="12" t="inlineStr">
        <is>
          <t>Antes de subir tu proteína</t>
        </is>
      </c>
    </row>
    <row r="29" ht="30" customHeight="1">
      <c r="A29" s="10" t="inlineStr">
        <is>
          <t>Si tienes enfermedad renal crónica o te han dicho que tu función renal está baja, no subas la proteína sin hablarlo con tu médico.</t>
        </is>
      </c>
    </row>
    <row r="30" ht="30" customHeight="1">
      <c r="A30" s="10" t="inlineStr">
        <is>
          <t>Esta planilla es una herramienta para ordenarte, no una indicación médica ni nutricional. Llévala a tu médico o nutricionista si tienes dudas.</t>
        </is>
      </c>
    </row>
    <row r="31" ht="30" customHeight="1">
      <c r="A31" s="10" t="inlineStr">
        <is>
          <t>Nivel: G = guía clínica, C = consenso de sociedad, E = opinión de experto. Donde dice E, no hay consenso de guía.</t>
        </is>
      </c>
    </row>
  </sheetData>
  <mergeCells count="6">
    <mergeCell ref="B10:D10"/>
    <mergeCell ref="A31:D31"/>
    <mergeCell ref="A30:D30"/>
    <mergeCell ref="B9:D9"/>
    <mergeCell ref="A29:D29"/>
    <mergeCell ref="A2:D2"/>
  </mergeCells>
  <dataValidations count="3">
    <dataValidation sqref="B5" showDropDown="0" showInputMessage="0" showErrorMessage="0" allowBlank="0" type="list">
      <formula1>"Mujer,Hombre"</formula1>
    </dataValidation>
    <dataValidation sqref="B9" showDropDown="0" showInputMessage="0" showErrorMessage="0" allowBlank="0" type="list">
      <formula1>=Listas!$A$2:$A$5</formula1>
    </dataValidation>
    <dataValidation sqref="B10" showDropDown="0" showInputMessage="0" showErrorMessage="0" allowBlank="0" type="list">
      <formula1>=Listas!$C$2:$C$6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3" customWidth="1" min="8" max="8"/>
    <col width="9" customWidth="1" min="9" max="9"/>
  </cols>
  <sheetData>
    <row r="1">
      <c r="A1" s="1" t="inlineStr">
        <is>
          <t>Mi día de comidas</t>
        </is>
      </c>
    </row>
    <row r="2">
      <c r="A2" s="2" t="inlineStr">
        <is>
          <t>Elige un alimento en la columna B y escribe los gramos. Si dejas los gramos vacíos, se usa la porción habitual.</t>
        </is>
      </c>
    </row>
    <row r="4">
      <c r="A4" s="3" t="inlineStr">
        <is>
          <t>Comida</t>
        </is>
      </c>
      <c r="B4" s="3" t="inlineStr">
        <is>
          <t>Alimento</t>
        </is>
      </c>
      <c r="C4" s="3" t="inlineStr">
        <is>
          <t>Gramos</t>
        </is>
      </c>
      <c r="D4" s="3" t="inlineStr">
        <is>
          <t>Proteína</t>
        </is>
      </c>
      <c r="E4" s="3" t="inlineStr">
        <is>
          <t>Fibra</t>
        </is>
      </c>
      <c r="F4" s="3" t="inlineStr">
        <is>
          <t>Grasa</t>
        </is>
      </c>
      <c r="G4" s="3" t="inlineStr">
        <is>
          <t>Carbohidratos</t>
        </is>
      </c>
      <c r="H4" s="3" t="inlineStr">
        <is>
          <t>kcal</t>
        </is>
      </c>
      <c r="I4" s="3" t="inlineStr">
        <is>
          <t>Porción</t>
        </is>
      </c>
    </row>
    <row r="5">
      <c r="A5" s="4" t="inlineStr">
        <is>
          <t>Desayuno</t>
        </is>
      </c>
      <c r="B5" s="13" t="n"/>
      <c r="C5" s="13" t="n"/>
      <c r="D5" s="14">
        <f>IF(B5="","",ROUND(IF(C5="",VLOOKUP(B5,Alimentos!$A$5:$H$83,2,FALSE),C5)/100*VLOOKUP(B5,Alimentos!$A$5:$H$83,4,FALSE),1))</f>
        <v/>
      </c>
      <c r="E5" s="14">
        <f>IF(B5="","",ROUND(IF(C5="",VLOOKUP(B5,Alimentos!$A$5:$H$83,2,FALSE),C5)/100*VLOOKUP(B5,Alimentos!$A$5:$H$83,5,FALSE),1))</f>
        <v/>
      </c>
      <c r="F5" s="14">
        <f>IF(B5="","",ROUND(IF(C5="",VLOOKUP(B5,Alimentos!$A$5:$H$83,2,FALSE),C5)/100*VLOOKUP(B5,Alimentos!$A$5:$H$83,6,FALSE),1))</f>
        <v/>
      </c>
      <c r="G5" s="14">
        <f>IF(B5="","",ROUND(IF(C5="",VLOOKUP(B5,Alimentos!$A$5:$H$83,2,FALSE),C5)/100*VLOOKUP(B5,Alimentos!$A$5:$H$83,7,FALSE),1))</f>
        <v/>
      </c>
      <c r="H5" s="14">
        <f>IF(B5="","",ROUND(IF(C5="",VLOOKUP(B5,Alimentos!$A$5:$H$83,2,FALSE),C5)/100*VLOOKUP(B5,Alimentos!$A$5:$H$83,8,FALSE),1))</f>
        <v/>
      </c>
      <c r="I5" s="2">
        <f>IF(B5="","",VLOOKUP(B5,Alimentos!$A$5:$H$83,3,FALSE))</f>
        <v/>
      </c>
    </row>
    <row r="6">
      <c r="A6" s="4" t="n"/>
      <c r="B6" s="13" t="n"/>
      <c r="C6" s="13" t="n"/>
      <c r="D6" s="14">
        <f>IF(B6="","",ROUND(IF(C6="",VLOOKUP(B6,Alimentos!$A$5:$H$83,2,FALSE),C6)/100*VLOOKUP(B6,Alimentos!$A$5:$H$83,4,FALSE),1))</f>
        <v/>
      </c>
      <c r="E6" s="14">
        <f>IF(B6="","",ROUND(IF(C6="",VLOOKUP(B6,Alimentos!$A$5:$H$83,2,FALSE),C6)/100*VLOOKUP(B6,Alimentos!$A$5:$H$83,5,FALSE),1))</f>
        <v/>
      </c>
      <c r="F6" s="14">
        <f>IF(B6="","",ROUND(IF(C6="",VLOOKUP(B6,Alimentos!$A$5:$H$83,2,FALSE),C6)/100*VLOOKUP(B6,Alimentos!$A$5:$H$83,6,FALSE),1))</f>
        <v/>
      </c>
      <c r="G6" s="14">
        <f>IF(B6="","",ROUND(IF(C6="",VLOOKUP(B6,Alimentos!$A$5:$H$83,2,FALSE),C6)/100*VLOOKUP(B6,Alimentos!$A$5:$H$83,7,FALSE),1))</f>
        <v/>
      </c>
      <c r="H6" s="14">
        <f>IF(B6="","",ROUND(IF(C6="",VLOOKUP(B6,Alimentos!$A$5:$H$83,2,FALSE),C6)/100*VLOOKUP(B6,Alimentos!$A$5:$H$83,8,FALSE),1))</f>
        <v/>
      </c>
      <c r="I6" s="2">
        <f>IF(B6="","",VLOOKUP(B6,Alimentos!$A$5:$H$83,3,FALSE))</f>
        <v/>
      </c>
    </row>
    <row r="7">
      <c r="A7" s="4" t="n"/>
      <c r="B7" s="13" t="n"/>
      <c r="C7" s="13" t="n"/>
      <c r="D7" s="14">
        <f>IF(B7="","",ROUND(IF(C7="",VLOOKUP(B7,Alimentos!$A$5:$H$83,2,FALSE),C7)/100*VLOOKUP(B7,Alimentos!$A$5:$H$83,4,FALSE),1))</f>
        <v/>
      </c>
      <c r="E7" s="14">
        <f>IF(B7="","",ROUND(IF(C7="",VLOOKUP(B7,Alimentos!$A$5:$H$83,2,FALSE),C7)/100*VLOOKUP(B7,Alimentos!$A$5:$H$83,5,FALSE),1))</f>
        <v/>
      </c>
      <c r="F7" s="14">
        <f>IF(B7="","",ROUND(IF(C7="",VLOOKUP(B7,Alimentos!$A$5:$H$83,2,FALSE),C7)/100*VLOOKUP(B7,Alimentos!$A$5:$H$83,6,FALSE),1))</f>
        <v/>
      </c>
      <c r="G7" s="14">
        <f>IF(B7="","",ROUND(IF(C7="",VLOOKUP(B7,Alimentos!$A$5:$H$83,2,FALSE),C7)/100*VLOOKUP(B7,Alimentos!$A$5:$H$83,7,FALSE),1))</f>
        <v/>
      </c>
      <c r="H7" s="14">
        <f>IF(B7="","",ROUND(IF(C7="",VLOOKUP(B7,Alimentos!$A$5:$H$83,2,FALSE),C7)/100*VLOOKUP(B7,Alimentos!$A$5:$H$83,8,FALSE),1))</f>
        <v/>
      </c>
      <c r="I7" s="2">
        <f>IF(B7="","",VLOOKUP(B7,Alimentos!$A$5:$H$83,3,FALSE))</f>
        <v/>
      </c>
    </row>
    <row r="8">
      <c r="A8" s="4" t="n"/>
      <c r="B8" s="13" t="n"/>
      <c r="C8" s="13" t="n"/>
      <c r="D8" s="14">
        <f>IF(B8="","",ROUND(IF(C8="",VLOOKUP(B8,Alimentos!$A$5:$H$83,2,FALSE),C8)/100*VLOOKUP(B8,Alimentos!$A$5:$H$83,4,FALSE),1))</f>
        <v/>
      </c>
      <c r="E8" s="14">
        <f>IF(B8="","",ROUND(IF(C8="",VLOOKUP(B8,Alimentos!$A$5:$H$83,2,FALSE),C8)/100*VLOOKUP(B8,Alimentos!$A$5:$H$83,5,FALSE),1))</f>
        <v/>
      </c>
      <c r="F8" s="14">
        <f>IF(B8="","",ROUND(IF(C8="",VLOOKUP(B8,Alimentos!$A$5:$H$83,2,FALSE),C8)/100*VLOOKUP(B8,Alimentos!$A$5:$H$83,6,FALSE),1))</f>
        <v/>
      </c>
      <c r="G8" s="14">
        <f>IF(B8="","",ROUND(IF(C8="",VLOOKUP(B8,Alimentos!$A$5:$H$83,2,FALSE),C8)/100*VLOOKUP(B8,Alimentos!$A$5:$H$83,7,FALSE),1))</f>
        <v/>
      </c>
      <c r="H8" s="14">
        <f>IF(B8="","",ROUND(IF(C8="",VLOOKUP(B8,Alimentos!$A$5:$H$83,2,FALSE),C8)/100*VLOOKUP(B8,Alimentos!$A$5:$H$83,8,FALSE),1))</f>
        <v/>
      </c>
      <c r="I8" s="2">
        <f>IF(B8="","",VLOOKUP(B8,Alimentos!$A$5:$H$83,3,FALSE))</f>
        <v/>
      </c>
    </row>
    <row r="9">
      <c r="A9" s="4" t="n"/>
      <c r="B9" s="13" t="n"/>
      <c r="C9" s="13" t="n"/>
      <c r="D9" s="14">
        <f>IF(B9="","",ROUND(IF(C9="",VLOOKUP(B9,Alimentos!$A$5:$H$83,2,FALSE),C9)/100*VLOOKUP(B9,Alimentos!$A$5:$H$83,4,FALSE),1))</f>
        <v/>
      </c>
      <c r="E9" s="14">
        <f>IF(B9="","",ROUND(IF(C9="",VLOOKUP(B9,Alimentos!$A$5:$H$83,2,FALSE),C9)/100*VLOOKUP(B9,Alimentos!$A$5:$H$83,5,FALSE),1))</f>
        <v/>
      </c>
      <c r="F9" s="14">
        <f>IF(B9="","",ROUND(IF(C9="",VLOOKUP(B9,Alimentos!$A$5:$H$83,2,FALSE),C9)/100*VLOOKUP(B9,Alimentos!$A$5:$H$83,6,FALSE),1))</f>
        <v/>
      </c>
      <c r="G9" s="14">
        <f>IF(B9="","",ROUND(IF(C9="",VLOOKUP(B9,Alimentos!$A$5:$H$83,2,FALSE),C9)/100*VLOOKUP(B9,Alimentos!$A$5:$H$83,7,FALSE),1))</f>
        <v/>
      </c>
      <c r="H9" s="14">
        <f>IF(B9="","",ROUND(IF(C9="",VLOOKUP(B9,Alimentos!$A$5:$H$83,2,FALSE),C9)/100*VLOOKUP(B9,Alimentos!$A$5:$H$83,8,FALSE),1))</f>
        <v/>
      </c>
      <c r="I9" s="2">
        <f>IF(B9="","",VLOOKUP(B9,Alimentos!$A$5:$H$83,3,FALSE))</f>
        <v/>
      </c>
    </row>
    <row r="10">
      <c r="B10" s="4" t="inlineStr">
        <is>
          <t>Total desayuno</t>
        </is>
      </c>
      <c r="D10" s="15">
        <f>SUM(D5:D9)</f>
        <v/>
      </c>
      <c r="E10" s="15">
        <f>SUM(E5:E9)</f>
        <v/>
      </c>
      <c r="F10" s="15">
        <f>SUM(F5:F9)</f>
        <v/>
      </c>
      <c r="G10" s="15">
        <f>SUM(G5:G9)</f>
        <v/>
      </c>
      <c r="H10" s="15">
        <f>SUM(H5:H9)</f>
        <v/>
      </c>
    </row>
    <row r="12">
      <c r="A12" s="4" t="inlineStr">
        <is>
          <t>Colación</t>
        </is>
      </c>
      <c r="B12" s="13" t="n"/>
      <c r="C12" s="13" t="n"/>
      <c r="D12" s="14">
        <f>IF(B12="","",ROUND(IF(C12="",VLOOKUP(B12,Alimentos!$A$5:$H$83,2,FALSE),C12)/100*VLOOKUP(B12,Alimentos!$A$5:$H$83,4,FALSE),1))</f>
        <v/>
      </c>
      <c r="E12" s="14">
        <f>IF(B12="","",ROUND(IF(C12="",VLOOKUP(B12,Alimentos!$A$5:$H$83,2,FALSE),C12)/100*VLOOKUP(B12,Alimentos!$A$5:$H$83,5,FALSE),1))</f>
        <v/>
      </c>
      <c r="F12" s="14">
        <f>IF(B12="","",ROUND(IF(C12="",VLOOKUP(B12,Alimentos!$A$5:$H$83,2,FALSE),C12)/100*VLOOKUP(B12,Alimentos!$A$5:$H$83,6,FALSE),1))</f>
        <v/>
      </c>
      <c r="G12" s="14">
        <f>IF(B12="","",ROUND(IF(C12="",VLOOKUP(B12,Alimentos!$A$5:$H$83,2,FALSE),C12)/100*VLOOKUP(B12,Alimentos!$A$5:$H$83,7,FALSE),1))</f>
        <v/>
      </c>
      <c r="H12" s="14">
        <f>IF(B12="","",ROUND(IF(C12="",VLOOKUP(B12,Alimentos!$A$5:$H$83,2,FALSE),C12)/100*VLOOKUP(B12,Alimentos!$A$5:$H$83,8,FALSE),1))</f>
        <v/>
      </c>
      <c r="I12" s="2">
        <f>IF(B12="","",VLOOKUP(B12,Alimentos!$A$5:$H$83,3,FALSE))</f>
        <v/>
      </c>
    </row>
    <row r="13">
      <c r="A13" s="4" t="n"/>
      <c r="B13" s="13" t="n"/>
      <c r="C13" s="13" t="n"/>
      <c r="D13" s="14">
        <f>IF(B13="","",ROUND(IF(C13="",VLOOKUP(B13,Alimentos!$A$5:$H$83,2,FALSE),C13)/100*VLOOKUP(B13,Alimentos!$A$5:$H$83,4,FALSE),1))</f>
        <v/>
      </c>
      <c r="E13" s="14">
        <f>IF(B13="","",ROUND(IF(C13="",VLOOKUP(B13,Alimentos!$A$5:$H$83,2,FALSE),C13)/100*VLOOKUP(B13,Alimentos!$A$5:$H$83,5,FALSE),1))</f>
        <v/>
      </c>
      <c r="F13" s="14">
        <f>IF(B13="","",ROUND(IF(C13="",VLOOKUP(B13,Alimentos!$A$5:$H$83,2,FALSE),C13)/100*VLOOKUP(B13,Alimentos!$A$5:$H$83,6,FALSE),1))</f>
        <v/>
      </c>
      <c r="G13" s="14">
        <f>IF(B13="","",ROUND(IF(C13="",VLOOKUP(B13,Alimentos!$A$5:$H$83,2,FALSE),C13)/100*VLOOKUP(B13,Alimentos!$A$5:$H$83,7,FALSE),1))</f>
        <v/>
      </c>
      <c r="H13" s="14">
        <f>IF(B13="","",ROUND(IF(C13="",VLOOKUP(B13,Alimentos!$A$5:$H$83,2,FALSE),C13)/100*VLOOKUP(B13,Alimentos!$A$5:$H$83,8,FALSE),1))</f>
        <v/>
      </c>
      <c r="I13" s="2">
        <f>IF(B13="","",VLOOKUP(B13,Alimentos!$A$5:$H$83,3,FALSE))</f>
        <v/>
      </c>
    </row>
    <row r="14">
      <c r="A14" s="4" t="n"/>
      <c r="B14" s="13" t="n"/>
      <c r="C14" s="13" t="n"/>
      <c r="D14" s="14">
        <f>IF(B14="","",ROUND(IF(C14="",VLOOKUP(B14,Alimentos!$A$5:$H$83,2,FALSE),C14)/100*VLOOKUP(B14,Alimentos!$A$5:$H$83,4,FALSE),1))</f>
        <v/>
      </c>
      <c r="E14" s="14">
        <f>IF(B14="","",ROUND(IF(C14="",VLOOKUP(B14,Alimentos!$A$5:$H$83,2,FALSE),C14)/100*VLOOKUP(B14,Alimentos!$A$5:$H$83,5,FALSE),1))</f>
        <v/>
      </c>
      <c r="F14" s="14">
        <f>IF(B14="","",ROUND(IF(C14="",VLOOKUP(B14,Alimentos!$A$5:$H$83,2,FALSE),C14)/100*VLOOKUP(B14,Alimentos!$A$5:$H$83,6,FALSE),1))</f>
        <v/>
      </c>
      <c r="G14" s="14">
        <f>IF(B14="","",ROUND(IF(C14="",VLOOKUP(B14,Alimentos!$A$5:$H$83,2,FALSE),C14)/100*VLOOKUP(B14,Alimentos!$A$5:$H$83,7,FALSE),1))</f>
        <v/>
      </c>
      <c r="H14" s="14">
        <f>IF(B14="","",ROUND(IF(C14="",VLOOKUP(B14,Alimentos!$A$5:$H$83,2,FALSE),C14)/100*VLOOKUP(B14,Alimentos!$A$5:$H$83,8,FALSE),1))</f>
        <v/>
      </c>
      <c r="I14" s="2">
        <f>IF(B14="","",VLOOKUP(B14,Alimentos!$A$5:$H$83,3,FALSE))</f>
        <v/>
      </c>
    </row>
    <row r="15">
      <c r="A15" s="4" t="n"/>
      <c r="B15" s="13" t="n"/>
      <c r="C15" s="13" t="n"/>
      <c r="D15" s="14">
        <f>IF(B15="","",ROUND(IF(C15="",VLOOKUP(B15,Alimentos!$A$5:$H$83,2,FALSE),C15)/100*VLOOKUP(B15,Alimentos!$A$5:$H$83,4,FALSE),1))</f>
        <v/>
      </c>
      <c r="E15" s="14">
        <f>IF(B15="","",ROUND(IF(C15="",VLOOKUP(B15,Alimentos!$A$5:$H$83,2,FALSE),C15)/100*VLOOKUP(B15,Alimentos!$A$5:$H$83,5,FALSE),1))</f>
        <v/>
      </c>
      <c r="F15" s="14">
        <f>IF(B15="","",ROUND(IF(C15="",VLOOKUP(B15,Alimentos!$A$5:$H$83,2,FALSE),C15)/100*VLOOKUP(B15,Alimentos!$A$5:$H$83,6,FALSE),1))</f>
        <v/>
      </c>
      <c r="G15" s="14">
        <f>IF(B15="","",ROUND(IF(C15="",VLOOKUP(B15,Alimentos!$A$5:$H$83,2,FALSE),C15)/100*VLOOKUP(B15,Alimentos!$A$5:$H$83,7,FALSE),1))</f>
        <v/>
      </c>
      <c r="H15" s="14">
        <f>IF(B15="","",ROUND(IF(C15="",VLOOKUP(B15,Alimentos!$A$5:$H$83,2,FALSE),C15)/100*VLOOKUP(B15,Alimentos!$A$5:$H$83,8,FALSE),1))</f>
        <v/>
      </c>
      <c r="I15" s="2">
        <f>IF(B15="","",VLOOKUP(B15,Alimentos!$A$5:$H$83,3,FALSE))</f>
        <v/>
      </c>
    </row>
    <row r="16">
      <c r="A16" s="4" t="n"/>
      <c r="B16" s="13" t="n"/>
      <c r="C16" s="13" t="n"/>
      <c r="D16" s="14">
        <f>IF(B16="","",ROUND(IF(C16="",VLOOKUP(B16,Alimentos!$A$5:$H$83,2,FALSE),C16)/100*VLOOKUP(B16,Alimentos!$A$5:$H$83,4,FALSE),1))</f>
        <v/>
      </c>
      <c r="E16" s="14">
        <f>IF(B16="","",ROUND(IF(C16="",VLOOKUP(B16,Alimentos!$A$5:$H$83,2,FALSE),C16)/100*VLOOKUP(B16,Alimentos!$A$5:$H$83,5,FALSE),1))</f>
        <v/>
      </c>
      <c r="F16" s="14">
        <f>IF(B16="","",ROUND(IF(C16="",VLOOKUP(B16,Alimentos!$A$5:$H$83,2,FALSE),C16)/100*VLOOKUP(B16,Alimentos!$A$5:$H$83,6,FALSE),1))</f>
        <v/>
      </c>
      <c r="G16" s="14">
        <f>IF(B16="","",ROUND(IF(C16="",VLOOKUP(B16,Alimentos!$A$5:$H$83,2,FALSE),C16)/100*VLOOKUP(B16,Alimentos!$A$5:$H$83,7,FALSE),1))</f>
        <v/>
      </c>
      <c r="H16" s="14">
        <f>IF(B16="","",ROUND(IF(C16="",VLOOKUP(B16,Alimentos!$A$5:$H$83,2,FALSE),C16)/100*VLOOKUP(B16,Alimentos!$A$5:$H$83,8,FALSE),1))</f>
        <v/>
      </c>
      <c r="I16" s="2">
        <f>IF(B16="","",VLOOKUP(B16,Alimentos!$A$5:$H$83,3,FALSE))</f>
        <v/>
      </c>
    </row>
    <row r="17">
      <c r="B17" s="4" t="inlineStr">
        <is>
          <t>Total colación</t>
        </is>
      </c>
      <c r="D17" s="15">
        <f>SUM(D12:D16)</f>
        <v/>
      </c>
      <c r="E17" s="15">
        <f>SUM(E12:E16)</f>
        <v/>
      </c>
      <c r="F17" s="15">
        <f>SUM(F12:F16)</f>
        <v/>
      </c>
      <c r="G17" s="15">
        <f>SUM(G12:G16)</f>
        <v/>
      </c>
      <c r="H17" s="15">
        <f>SUM(H12:H16)</f>
        <v/>
      </c>
    </row>
    <row r="19">
      <c r="A19" s="4" t="inlineStr">
        <is>
          <t>Almuerzo</t>
        </is>
      </c>
      <c r="B19" s="13" t="n"/>
      <c r="C19" s="13" t="n"/>
      <c r="D19" s="14">
        <f>IF(B19="","",ROUND(IF(C19="",VLOOKUP(B19,Alimentos!$A$5:$H$83,2,FALSE),C19)/100*VLOOKUP(B19,Alimentos!$A$5:$H$83,4,FALSE),1))</f>
        <v/>
      </c>
      <c r="E19" s="14">
        <f>IF(B19="","",ROUND(IF(C19="",VLOOKUP(B19,Alimentos!$A$5:$H$83,2,FALSE),C19)/100*VLOOKUP(B19,Alimentos!$A$5:$H$83,5,FALSE),1))</f>
        <v/>
      </c>
      <c r="F19" s="14">
        <f>IF(B19="","",ROUND(IF(C19="",VLOOKUP(B19,Alimentos!$A$5:$H$83,2,FALSE),C19)/100*VLOOKUP(B19,Alimentos!$A$5:$H$83,6,FALSE),1))</f>
        <v/>
      </c>
      <c r="G19" s="14">
        <f>IF(B19="","",ROUND(IF(C19="",VLOOKUP(B19,Alimentos!$A$5:$H$83,2,FALSE),C19)/100*VLOOKUP(B19,Alimentos!$A$5:$H$83,7,FALSE),1))</f>
        <v/>
      </c>
      <c r="H19" s="14">
        <f>IF(B19="","",ROUND(IF(C19="",VLOOKUP(B19,Alimentos!$A$5:$H$83,2,FALSE),C19)/100*VLOOKUP(B19,Alimentos!$A$5:$H$83,8,FALSE),1))</f>
        <v/>
      </c>
      <c r="I19" s="2">
        <f>IF(B19="","",VLOOKUP(B19,Alimentos!$A$5:$H$83,3,FALSE))</f>
        <v/>
      </c>
    </row>
    <row r="20">
      <c r="A20" s="4" t="n"/>
      <c r="B20" s="13" t="n"/>
      <c r="C20" s="13" t="n"/>
      <c r="D20" s="14">
        <f>IF(B20="","",ROUND(IF(C20="",VLOOKUP(B20,Alimentos!$A$5:$H$83,2,FALSE),C20)/100*VLOOKUP(B20,Alimentos!$A$5:$H$83,4,FALSE),1))</f>
        <v/>
      </c>
      <c r="E20" s="14">
        <f>IF(B20="","",ROUND(IF(C20="",VLOOKUP(B20,Alimentos!$A$5:$H$83,2,FALSE),C20)/100*VLOOKUP(B20,Alimentos!$A$5:$H$83,5,FALSE),1))</f>
        <v/>
      </c>
      <c r="F20" s="14">
        <f>IF(B20="","",ROUND(IF(C20="",VLOOKUP(B20,Alimentos!$A$5:$H$83,2,FALSE),C20)/100*VLOOKUP(B20,Alimentos!$A$5:$H$83,6,FALSE),1))</f>
        <v/>
      </c>
      <c r="G20" s="14">
        <f>IF(B20="","",ROUND(IF(C20="",VLOOKUP(B20,Alimentos!$A$5:$H$83,2,FALSE),C20)/100*VLOOKUP(B20,Alimentos!$A$5:$H$83,7,FALSE),1))</f>
        <v/>
      </c>
      <c r="H20" s="14">
        <f>IF(B20="","",ROUND(IF(C20="",VLOOKUP(B20,Alimentos!$A$5:$H$83,2,FALSE),C20)/100*VLOOKUP(B20,Alimentos!$A$5:$H$83,8,FALSE),1))</f>
        <v/>
      </c>
      <c r="I20" s="2">
        <f>IF(B20="","",VLOOKUP(B20,Alimentos!$A$5:$H$83,3,FALSE))</f>
        <v/>
      </c>
    </row>
    <row r="21">
      <c r="A21" s="4" t="n"/>
      <c r="B21" s="13" t="n"/>
      <c r="C21" s="13" t="n"/>
      <c r="D21" s="14">
        <f>IF(B21="","",ROUND(IF(C21="",VLOOKUP(B21,Alimentos!$A$5:$H$83,2,FALSE),C21)/100*VLOOKUP(B21,Alimentos!$A$5:$H$83,4,FALSE),1))</f>
        <v/>
      </c>
      <c r="E21" s="14">
        <f>IF(B21="","",ROUND(IF(C21="",VLOOKUP(B21,Alimentos!$A$5:$H$83,2,FALSE),C21)/100*VLOOKUP(B21,Alimentos!$A$5:$H$83,5,FALSE),1))</f>
        <v/>
      </c>
      <c r="F21" s="14">
        <f>IF(B21="","",ROUND(IF(C21="",VLOOKUP(B21,Alimentos!$A$5:$H$83,2,FALSE),C21)/100*VLOOKUP(B21,Alimentos!$A$5:$H$83,6,FALSE),1))</f>
        <v/>
      </c>
      <c r="G21" s="14">
        <f>IF(B21="","",ROUND(IF(C21="",VLOOKUP(B21,Alimentos!$A$5:$H$83,2,FALSE),C21)/100*VLOOKUP(B21,Alimentos!$A$5:$H$83,7,FALSE),1))</f>
        <v/>
      </c>
      <c r="H21" s="14">
        <f>IF(B21="","",ROUND(IF(C21="",VLOOKUP(B21,Alimentos!$A$5:$H$83,2,FALSE),C21)/100*VLOOKUP(B21,Alimentos!$A$5:$H$83,8,FALSE),1))</f>
        <v/>
      </c>
      <c r="I21" s="2">
        <f>IF(B21="","",VLOOKUP(B21,Alimentos!$A$5:$H$83,3,FALSE))</f>
        <v/>
      </c>
    </row>
    <row r="22">
      <c r="A22" s="4" t="n"/>
      <c r="B22" s="13" t="n"/>
      <c r="C22" s="13" t="n"/>
      <c r="D22" s="14">
        <f>IF(B22="","",ROUND(IF(C22="",VLOOKUP(B22,Alimentos!$A$5:$H$83,2,FALSE),C22)/100*VLOOKUP(B22,Alimentos!$A$5:$H$83,4,FALSE),1))</f>
        <v/>
      </c>
      <c r="E22" s="14">
        <f>IF(B22="","",ROUND(IF(C22="",VLOOKUP(B22,Alimentos!$A$5:$H$83,2,FALSE),C22)/100*VLOOKUP(B22,Alimentos!$A$5:$H$83,5,FALSE),1))</f>
        <v/>
      </c>
      <c r="F22" s="14">
        <f>IF(B22="","",ROUND(IF(C22="",VLOOKUP(B22,Alimentos!$A$5:$H$83,2,FALSE),C22)/100*VLOOKUP(B22,Alimentos!$A$5:$H$83,6,FALSE),1))</f>
        <v/>
      </c>
      <c r="G22" s="14">
        <f>IF(B22="","",ROUND(IF(C22="",VLOOKUP(B22,Alimentos!$A$5:$H$83,2,FALSE),C22)/100*VLOOKUP(B22,Alimentos!$A$5:$H$83,7,FALSE),1))</f>
        <v/>
      </c>
      <c r="H22" s="14">
        <f>IF(B22="","",ROUND(IF(C22="",VLOOKUP(B22,Alimentos!$A$5:$H$83,2,FALSE),C22)/100*VLOOKUP(B22,Alimentos!$A$5:$H$83,8,FALSE),1))</f>
        <v/>
      </c>
      <c r="I22" s="2">
        <f>IF(B22="","",VLOOKUP(B22,Alimentos!$A$5:$H$83,3,FALSE))</f>
        <v/>
      </c>
    </row>
    <row r="23">
      <c r="A23" s="4" t="n"/>
      <c r="B23" s="13" t="n"/>
      <c r="C23" s="13" t="n"/>
      <c r="D23" s="14">
        <f>IF(B23="","",ROUND(IF(C23="",VLOOKUP(B23,Alimentos!$A$5:$H$83,2,FALSE),C23)/100*VLOOKUP(B23,Alimentos!$A$5:$H$83,4,FALSE),1))</f>
        <v/>
      </c>
      <c r="E23" s="14">
        <f>IF(B23="","",ROUND(IF(C23="",VLOOKUP(B23,Alimentos!$A$5:$H$83,2,FALSE),C23)/100*VLOOKUP(B23,Alimentos!$A$5:$H$83,5,FALSE),1))</f>
        <v/>
      </c>
      <c r="F23" s="14">
        <f>IF(B23="","",ROUND(IF(C23="",VLOOKUP(B23,Alimentos!$A$5:$H$83,2,FALSE),C23)/100*VLOOKUP(B23,Alimentos!$A$5:$H$83,6,FALSE),1))</f>
        <v/>
      </c>
      <c r="G23" s="14">
        <f>IF(B23="","",ROUND(IF(C23="",VLOOKUP(B23,Alimentos!$A$5:$H$83,2,FALSE),C23)/100*VLOOKUP(B23,Alimentos!$A$5:$H$83,7,FALSE),1))</f>
        <v/>
      </c>
      <c r="H23" s="14">
        <f>IF(B23="","",ROUND(IF(C23="",VLOOKUP(B23,Alimentos!$A$5:$H$83,2,FALSE),C23)/100*VLOOKUP(B23,Alimentos!$A$5:$H$83,8,FALSE),1))</f>
        <v/>
      </c>
      <c r="I23" s="2">
        <f>IF(B23="","",VLOOKUP(B23,Alimentos!$A$5:$H$83,3,FALSE))</f>
        <v/>
      </c>
    </row>
    <row r="24">
      <c r="B24" s="4" t="inlineStr">
        <is>
          <t>Total almuerzo</t>
        </is>
      </c>
      <c r="D24" s="15">
        <f>SUM(D19:D23)</f>
        <v/>
      </c>
      <c r="E24" s="15">
        <f>SUM(E19:E23)</f>
        <v/>
      </c>
      <c r="F24" s="15">
        <f>SUM(F19:F23)</f>
        <v/>
      </c>
      <c r="G24" s="15">
        <f>SUM(G19:G23)</f>
        <v/>
      </c>
      <c r="H24" s="15">
        <f>SUM(H19:H23)</f>
        <v/>
      </c>
    </row>
    <row r="26">
      <c r="A26" s="4" t="inlineStr">
        <is>
          <t>Once</t>
        </is>
      </c>
      <c r="B26" s="13" t="n"/>
      <c r="C26" s="13" t="n"/>
      <c r="D26" s="14">
        <f>IF(B26="","",ROUND(IF(C26="",VLOOKUP(B26,Alimentos!$A$5:$H$83,2,FALSE),C26)/100*VLOOKUP(B26,Alimentos!$A$5:$H$83,4,FALSE),1))</f>
        <v/>
      </c>
      <c r="E26" s="14">
        <f>IF(B26="","",ROUND(IF(C26="",VLOOKUP(B26,Alimentos!$A$5:$H$83,2,FALSE),C26)/100*VLOOKUP(B26,Alimentos!$A$5:$H$83,5,FALSE),1))</f>
        <v/>
      </c>
      <c r="F26" s="14">
        <f>IF(B26="","",ROUND(IF(C26="",VLOOKUP(B26,Alimentos!$A$5:$H$83,2,FALSE),C26)/100*VLOOKUP(B26,Alimentos!$A$5:$H$83,6,FALSE),1))</f>
        <v/>
      </c>
      <c r="G26" s="14">
        <f>IF(B26="","",ROUND(IF(C26="",VLOOKUP(B26,Alimentos!$A$5:$H$83,2,FALSE),C26)/100*VLOOKUP(B26,Alimentos!$A$5:$H$83,7,FALSE),1))</f>
        <v/>
      </c>
      <c r="H26" s="14">
        <f>IF(B26="","",ROUND(IF(C26="",VLOOKUP(B26,Alimentos!$A$5:$H$83,2,FALSE),C26)/100*VLOOKUP(B26,Alimentos!$A$5:$H$83,8,FALSE),1))</f>
        <v/>
      </c>
      <c r="I26" s="2">
        <f>IF(B26="","",VLOOKUP(B26,Alimentos!$A$5:$H$83,3,FALSE))</f>
        <v/>
      </c>
    </row>
    <row r="27">
      <c r="A27" s="4" t="n"/>
      <c r="B27" s="13" t="n"/>
      <c r="C27" s="13" t="n"/>
      <c r="D27" s="14">
        <f>IF(B27="","",ROUND(IF(C27="",VLOOKUP(B27,Alimentos!$A$5:$H$83,2,FALSE),C27)/100*VLOOKUP(B27,Alimentos!$A$5:$H$83,4,FALSE),1))</f>
        <v/>
      </c>
      <c r="E27" s="14">
        <f>IF(B27="","",ROUND(IF(C27="",VLOOKUP(B27,Alimentos!$A$5:$H$83,2,FALSE),C27)/100*VLOOKUP(B27,Alimentos!$A$5:$H$83,5,FALSE),1))</f>
        <v/>
      </c>
      <c r="F27" s="14">
        <f>IF(B27="","",ROUND(IF(C27="",VLOOKUP(B27,Alimentos!$A$5:$H$83,2,FALSE),C27)/100*VLOOKUP(B27,Alimentos!$A$5:$H$83,6,FALSE),1))</f>
        <v/>
      </c>
      <c r="G27" s="14">
        <f>IF(B27="","",ROUND(IF(C27="",VLOOKUP(B27,Alimentos!$A$5:$H$83,2,FALSE),C27)/100*VLOOKUP(B27,Alimentos!$A$5:$H$83,7,FALSE),1))</f>
        <v/>
      </c>
      <c r="H27" s="14">
        <f>IF(B27="","",ROUND(IF(C27="",VLOOKUP(B27,Alimentos!$A$5:$H$83,2,FALSE),C27)/100*VLOOKUP(B27,Alimentos!$A$5:$H$83,8,FALSE),1))</f>
        <v/>
      </c>
      <c r="I27" s="2">
        <f>IF(B27="","",VLOOKUP(B27,Alimentos!$A$5:$H$83,3,FALSE))</f>
        <v/>
      </c>
    </row>
    <row r="28">
      <c r="A28" s="4" t="n"/>
      <c r="B28" s="13" t="n"/>
      <c r="C28" s="13" t="n"/>
      <c r="D28" s="14">
        <f>IF(B28="","",ROUND(IF(C28="",VLOOKUP(B28,Alimentos!$A$5:$H$83,2,FALSE),C28)/100*VLOOKUP(B28,Alimentos!$A$5:$H$83,4,FALSE),1))</f>
        <v/>
      </c>
      <c r="E28" s="14">
        <f>IF(B28="","",ROUND(IF(C28="",VLOOKUP(B28,Alimentos!$A$5:$H$83,2,FALSE),C28)/100*VLOOKUP(B28,Alimentos!$A$5:$H$83,5,FALSE),1))</f>
        <v/>
      </c>
      <c r="F28" s="14">
        <f>IF(B28="","",ROUND(IF(C28="",VLOOKUP(B28,Alimentos!$A$5:$H$83,2,FALSE),C28)/100*VLOOKUP(B28,Alimentos!$A$5:$H$83,6,FALSE),1))</f>
        <v/>
      </c>
      <c r="G28" s="14">
        <f>IF(B28="","",ROUND(IF(C28="",VLOOKUP(B28,Alimentos!$A$5:$H$83,2,FALSE),C28)/100*VLOOKUP(B28,Alimentos!$A$5:$H$83,7,FALSE),1))</f>
        <v/>
      </c>
      <c r="H28" s="14">
        <f>IF(B28="","",ROUND(IF(C28="",VLOOKUP(B28,Alimentos!$A$5:$H$83,2,FALSE),C28)/100*VLOOKUP(B28,Alimentos!$A$5:$H$83,8,FALSE),1))</f>
        <v/>
      </c>
      <c r="I28" s="2">
        <f>IF(B28="","",VLOOKUP(B28,Alimentos!$A$5:$H$83,3,FALSE))</f>
        <v/>
      </c>
    </row>
    <row r="29">
      <c r="A29" s="4" t="n"/>
      <c r="B29" s="13" t="n"/>
      <c r="C29" s="13" t="n"/>
      <c r="D29" s="14">
        <f>IF(B29="","",ROUND(IF(C29="",VLOOKUP(B29,Alimentos!$A$5:$H$83,2,FALSE),C29)/100*VLOOKUP(B29,Alimentos!$A$5:$H$83,4,FALSE),1))</f>
        <v/>
      </c>
      <c r="E29" s="14">
        <f>IF(B29="","",ROUND(IF(C29="",VLOOKUP(B29,Alimentos!$A$5:$H$83,2,FALSE),C29)/100*VLOOKUP(B29,Alimentos!$A$5:$H$83,5,FALSE),1))</f>
        <v/>
      </c>
      <c r="F29" s="14">
        <f>IF(B29="","",ROUND(IF(C29="",VLOOKUP(B29,Alimentos!$A$5:$H$83,2,FALSE),C29)/100*VLOOKUP(B29,Alimentos!$A$5:$H$83,6,FALSE),1))</f>
        <v/>
      </c>
      <c r="G29" s="14">
        <f>IF(B29="","",ROUND(IF(C29="",VLOOKUP(B29,Alimentos!$A$5:$H$83,2,FALSE),C29)/100*VLOOKUP(B29,Alimentos!$A$5:$H$83,7,FALSE),1))</f>
        <v/>
      </c>
      <c r="H29" s="14">
        <f>IF(B29="","",ROUND(IF(C29="",VLOOKUP(B29,Alimentos!$A$5:$H$83,2,FALSE),C29)/100*VLOOKUP(B29,Alimentos!$A$5:$H$83,8,FALSE),1))</f>
        <v/>
      </c>
      <c r="I29" s="2">
        <f>IF(B29="","",VLOOKUP(B29,Alimentos!$A$5:$H$83,3,FALSE))</f>
        <v/>
      </c>
    </row>
    <row r="30">
      <c r="A30" s="4" t="n"/>
      <c r="B30" s="13" t="n"/>
      <c r="C30" s="13" t="n"/>
      <c r="D30" s="14">
        <f>IF(B30="","",ROUND(IF(C30="",VLOOKUP(B30,Alimentos!$A$5:$H$83,2,FALSE),C30)/100*VLOOKUP(B30,Alimentos!$A$5:$H$83,4,FALSE),1))</f>
        <v/>
      </c>
      <c r="E30" s="14">
        <f>IF(B30="","",ROUND(IF(C30="",VLOOKUP(B30,Alimentos!$A$5:$H$83,2,FALSE),C30)/100*VLOOKUP(B30,Alimentos!$A$5:$H$83,5,FALSE),1))</f>
        <v/>
      </c>
      <c r="F30" s="14">
        <f>IF(B30="","",ROUND(IF(C30="",VLOOKUP(B30,Alimentos!$A$5:$H$83,2,FALSE),C30)/100*VLOOKUP(B30,Alimentos!$A$5:$H$83,6,FALSE),1))</f>
        <v/>
      </c>
      <c r="G30" s="14">
        <f>IF(B30="","",ROUND(IF(C30="",VLOOKUP(B30,Alimentos!$A$5:$H$83,2,FALSE),C30)/100*VLOOKUP(B30,Alimentos!$A$5:$H$83,7,FALSE),1))</f>
        <v/>
      </c>
      <c r="H30" s="14">
        <f>IF(B30="","",ROUND(IF(C30="",VLOOKUP(B30,Alimentos!$A$5:$H$83,2,FALSE),C30)/100*VLOOKUP(B30,Alimentos!$A$5:$H$83,8,FALSE),1))</f>
        <v/>
      </c>
      <c r="I30" s="2">
        <f>IF(B30="","",VLOOKUP(B30,Alimentos!$A$5:$H$83,3,FALSE))</f>
        <v/>
      </c>
    </row>
    <row r="31">
      <c r="B31" s="4" t="inlineStr">
        <is>
          <t>Total once</t>
        </is>
      </c>
      <c r="D31" s="15">
        <f>SUM(D26:D30)</f>
        <v/>
      </c>
      <c r="E31" s="15">
        <f>SUM(E26:E30)</f>
        <v/>
      </c>
      <c r="F31" s="15">
        <f>SUM(F26:F30)</f>
        <v/>
      </c>
      <c r="G31" s="15">
        <f>SUM(G26:G30)</f>
        <v/>
      </c>
      <c r="H31" s="15">
        <f>SUM(H26:H30)</f>
        <v/>
      </c>
    </row>
    <row r="33">
      <c r="A33" s="4" t="inlineStr">
        <is>
          <t>Cena</t>
        </is>
      </c>
      <c r="B33" s="13" t="n"/>
      <c r="C33" s="13" t="n"/>
      <c r="D33" s="14">
        <f>IF(B33="","",ROUND(IF(C33="",VLOOKUP(B33,Alimentos!$A$5:$H$83,2,FALSE),C33)/100*VLOOKUP(B33,Alimentos!$A$5:$H$83,4,FALSE),1))</f>
        <v/>
      </c>
      <c r="E33" s="14">
        <f>IF(B33="","",ROUND(IF(C33="",VLOOKUP(B33,Alimentos!$A$5:$H$83,2,FALSE),C33)/100*VLOOKUP(B33,Alimentos!$A$5:$H$83,5,FALSE),1))</f>
        <v/>
      </c>
      <c r="F33" s="14">
        <f>IF(B33="","",ROUND(IF(C33="",VLOOKUP(B33,Alimentos!$A$5:$H$83,2,FALSE),C33)/100*VLOOKUP(B33,Alimentos!$A$5:$H$83,6,FALSE),1))</f>
        <v/>
      </c>
      <c r="G33" s="14">
        <f>IF(B33="","",ROUND(IF(C33="",VLOOKUP(B33,Alimentos!$A$5:$H$83,2,FALSE),C33)/100*VLOOKUP(B33,Alimentos!$A$5:$H$83,7,FALSE),1))</f>
        <v/>
      </c>
      <c r="H33" s="14">
        <f>IF(B33="","",ROUND(IF(C33="",VLOOKUP(B33,Alimentos!$A$5:$H$83,2,FALSE),C33)/100*VLOOKUP(B33,Alimentos!$A$5:$H$83,8,FALSE),1))</f>
        <v/>
      </c>
      <c r="I33" s="2">
        <f>IF(B33="","",VLOOKUP(B33,Alimentos!$A$5:$H$83,3,FALSE))</f>
        <v/>
      </c>
    </row>
    <row r="34">
      <c r="A34" s="4" t="n"/>
      <c r="B34" s="13" t="n"/>
      <c r="C34" s="13" t="n"/>
      <c r="D34" s="14">
        <f>IF(B34="","",ROUND(IF(C34="",VLOOKUP(B34,Alimentos!$A$5:$H$83,2,FALSE),C34)/100*VLOOKUP(B34,Alimentos!$A$5:$H$83,4,FALSE),1))</f>
        <v/>
      </c>
      <c r="E34" s="14">
        <f>IF(B34="","",ROUND(IF(C34="",VLOOKUP(B34,Alimentos!$A$5:$H$83,2,FALSE),C34)/100*VLOOKUP(B34,Alimentos!$A$5:$H$83,5,FALSE),1))</f>
        <v/>
      </c>
      <c r="F34" s="14">
        <f>IF(B34="","",ROUND(IF(C34="",VLOOKUP(B34,Alimentos!$A$5:$H$83,2,FALSE),C34)/100*VLOOKUP(B34,Alimentos!$A$5:$H$83,6,FALSE),1))</f>
        <v/>
      </c>
      <c r="G34" s="14">
        <f>IF(B34="","",ROUND(IF(C34="",VLOOKUP(B34,Alimentos!$A$5:$H$83,2,FALSE),C34)/100*VLOOKUP(B34,Alimentos!$A$5:$H$83,7,FALSE),1))</f>
        <v/>
      </c>
      <c r="H34" s="14">
        <f>IF(B34="","",ROUND(IF(C34="",VLOOKUP(B34,Alimentos!$A$5:$H$83,2,FALSE),C34)/100*VLOOKUP(B34,Alimentos!$A$5:$H$83,8,FALSE),1))</f>
        <v/>
      </c>
      <c r="I34" s="2">
        <f>IF(B34="","",VLOOKUP(B34,Alimentos!$A$5:$H$83,3,FALSE))</f>
        <v/>
      </c>
    </row>
    <row r="35">
      <c r="A35" s="4" t="n"/>
      <c r="B35" s="13" t="n"/>
      <c r="C35" s="13" t="n"/>
      <c r="D35" s="14">
        <f>IF(B35="","",ROUND(IF(C35="",VLOOKUP(B35,Alimentos!$A$5:$H$83,2,FALSE),C35)/100*VLOOKUP(B35,Alimentos!$A$5:$H$83,4,FALSE),1))</f>
        <v/>
      </c>
      <c r="E35" s="14">
        <f>IF(B35="","",ROUND(IF(C35="",VLOOKUP(B35,Alimentos!$A$5:$H$83,2,FALSE),C35)/100*VLOOKUP(B35,Alimentos!$A$5:$H$83,5,FALSE),1))</f>
        <v/>
      </c>
      <c r="F35" s="14">
        <f>IF(B35="","",ROUND(IF(C35="",VLOOKUP(B35,Alimentos!$A$5:$H$83,2,FALSE),C35)/100*VLOOKUP(B35,Alimentos!$A$5:$H$83,6,FALSE),1))</f>
        <v/>
      </c>
      <c r="G35" s="14">
        <f>IF(B35="","",ROUND(IF(C35="",VLOOKUP(B35,Alimentos!$A$5:$H$83,2,FALSE),C35)/100*VLOOKUP(B35,Alimentos!$A$5:$H$83,7,FALSE),1))</f>
        <v/>
      </c>
      <c r="H35" s="14">
        <f>IF(B35="","",ROUND(IF(C35="",VLOOKUP(B35,Alimentos!$A$5:$H$83,2,FALSE),C35)/100*VLOOKUP(B35,Alimentos!$A$5:$H$83,8,FALSE),1))</f>
        <v/>
      </c>
      <c r="I35" s="2">
        <f>IF(B35="","",VLOOKUP(B35,Alimentos!$A$5:$H$83,3,FALSE))</f>
        <v/>
      </c>
    </row>
    <row r="36">
      <c r="A36" s="4" t="n"/>
      <c r="B36" s="13" t="n"/>
      <c r="C36" s="13" t="n"/>
      <c r="D36" s="14">
        <f>IF(B36="","",ROUND(IF(C36="",VLOOKUP(B36,Alimentos!$A$5:$H$83,2,FALSE),C36)/100*VLOOKUP(B36,Alimentos!$A$5:$H$83,4,FALSE),1))</f>
        <v/>
      </c>
      <c r="E36" s="14">
        <f>IF(B36="","",ROUND(IF(C36="",VLOOKUP(B36,Alimentos!$A$5:$H$83,2,FALSE),C36)/100*VLOOKUP(B36,Alimentos!$A$5:$H$83,5,FALSE),1))</f>
        <v/>
      </c>
      <c r="F36" s="14">
        <f>IF(B36="","",ROUND(IF(C36="",VLOOKUP(B36,Alimentos!$A$5:$H$83,2,FALSE),C36)/100*VLOOKUP(B36,Alimentos!$A$5:$H$83,6,FALSE),1))</f>
        <v/>
      </c>
      <c r="G36" s="14">
        <f>IF(B36="","",ROUND(IF(C36="",VLOOKUP(B36,Alimentos!$A$5:$H$83,2,FALSE),C36)/100*VLOOKUP(B36,Alimentos!$A$5:$H$83,7,FALSE),1))</f>
        <v/>
      </c>
      <c r="H36" s="14">
        <f>IF(B36="","",ROUND(IF(C36="",VLOOKUP(B36,Alimentos!$A$5:$H$83,2,FALSE),C36)/100*VLOOKUP(B36,Alimentos!$A$5:$H$83,8,FALSE),1))</f>
        <v/>
      </c>
      <c r="I36" s="2">
        <f>IF(B36="","",VLOOKUP(B36,Alimentos!$A$5:$H$83,3,FALSE))</f>
        <v/>
      </c>
    </row>
    <row r="37">
      <c r="A37" s="4" t="n"/>
      <c r="B37" s="13" t="n"/>
      <c r="C37" s="13" t="n"/>
      <c r="D37" s="14">
        <f>IF(B37="","",ROUND(IF(C37="",VLOOKUP(B37,Alimentos!$A$5:$H$83,2,FALSE),C37)/100*VLOOKUP(B37,Alimentos!$A$5:$H$83,4,FALSE),1))</f>
        <v/>
      </c>
      <c r="E37" s="14">
        <f>IF(B37="","",ROUND(IF(C37="",VLOOKUP(B37,Alimentos!$A$5:$H$83,2,FALSE),C37)/100*VLOOKUP(B37,Alimentos!$A$5:$H$83,5,FALSE),1))</f>
        <v/>
      </c>
      <c r="F37" s="14">
        <f>IF(B37="","",ROUND(IF(C37="",VLOOKUP(B37,Alimentos!$A$5:$H$83,2,FALSE),C37)/100*VLOOKUP(B37,Alimentos!$A$5:$H$83,6,FALSE),1))</f>
        <v/>
      </c>
      <c r="G37" s="14">
        <f>IF(B37="","",ROUND(IF(C37="",VLOOKUP(B37,Alimentos!$A$5:$H$83,2,FALSE),C37)/100*VLOOKUP(B37,Alimentos!$A$5:$H$83,7,FALSE),1))</f>
        <v/>
      </c>
      <c r="H37" s="14">
        <f>IF(B37="","",ROUND(IF(C37="",VLOOKUP(B37,Alimentos!$A$5:$H$83,2,FALSE),C37)/100*VLOOKUP(B37,Alimentos!$A$5:$H$83,8,FALSE),1))</f>
        <v/>
      </c>
      <c r="I37" s="2">
        <f>IF(B37="","",VLOOKUP(B37,Alimentos!$A$5:$H$83,3,FALSE))</f>
        <v/>
      </c>
    </row>
    <row r="38">
      <c r="B38" s="4" t="inlineStr">
        <is>
          <t>Total cena</t>
        </is>
      </c>
      <c r="D38" s="15">
        <f>SUM(D33:D37)</f>
        <v/>
      </c>
      <c r="E38" s="15">
        <f>SUM(E33:E37)</f>
        <v/>
      </c>
      <c r="F38" s="15">
        <f>SUM(F33:F37)</f>
        <v/>
      </c>
      <c r="G38" s="15">
        <f>SUM(G33:G37)</f>
        <v/>
      </c>
      <c r="H38" s="15">
        <f>SUM(H33:H37)</f>
        <v/>
      </c>
    </row>
    <row r="40">
      <c r="B40" s="16" t="inlineStr">
        <is>
          <t>Resumen del día</t>
        </is>
      </c>
      <c r="D40" s="16" t="inlineStr">
        <is>
          <t>Proteína</t>
        </is>
      </c>
      <c r="E40" s="16" t="inlineStr">
        <is>
          <t>Fibra</t>
        </is>
      </c>
      <c r="F40" s="16" t="inlineStr">
        <is>
          <t>Grasa</t>
        </is>
      </c>
      <c r="G40" s="16" t="inlineStr">
        <is>
          <t>Carbohidratos</t>
        </is>
      </c>
      <c r="H40" s="16" t="inlineStr">
        <is>
          <t>kcal</t>
        </is>
      </c>
    </row>
    <row r="41">
      <c r="B41" s="4" t="inlineStr">
        <is>
          <t>Total del día</t>
        </is>
      </c>
      <c r="D41" s="17">
        <f>D10+D17+D24+D31+D38</f>
        <v/>
      </c>
      <c r="E41" s="17">
        <f>E10+E17+E24+E31+E38</f>
        <v/>
      </c>
      <c r="F41" s="17">
        <f>F10+F17+F24+F31+F38</f>
        <v/>
      </c>
      <c r="G41" s="17">
        <f>G10+G17+G24+G31+G38</f>
        <v/>
      </c>
      <c r="H41" s="17">
        <f>H10+H17+H24+H31+H38</f>
        <v/>
      </c>
    </row>
    <row r="42">
      <c r="B42" s="4" t="inlineStr">
        <is>
          <t>Tu objetivo</t>
        </is>
      </c>
      <c r="D42">
        <f>'Mi objetivo'!B15</f>
        <v/>
      </c>
      <c r="E42">
        <f>'Mi objetivo'!B18</f>
        <v/>
      </c>
      <c r="H42">
        <f>'Mi objetivo'!B14</f>
        <v/>
      </c>
    </row>
    <row r="43">
      <c r="B43" s="4" t="inlineStr">
        <is>
          <t>Cuánto llevas del objetivo</t>
        </is>
      </c>
      <c r="D43" s="18">
        <f>IF(D42=0,"",D41/D42)</f>
        <v/>
      </c>
      <c r="E43" s="18">
        <f>IF(E42=0,"",E41/E42)</f>
        <v/>
      </c>
      <c r="H43" s="18">
        <f>IF(H42=0,"",H41/H42)</f>
        <v/>
      </c>
    </row>
    <row r="45">
      <c r="B45" s="4" t="inlineStr">
        <is>
          <t>Comidas principales con al menos 25 g de proteína</t>
        </is>
      </c>
      <c r="D45" s="17">
        <f>IF(D10&gt;=25,1,0)+IF(D24&gt;=25,1,0)+IF(D38&gt;=25,1,0)</f>
        <v/>
      </c>
      <c r="E45" t="inlineStr">
        <is>
          <t>de 3</t>
        </is>
      </c>
    </row>
  </sheetData>
  <conditionalFormatting sqref="D43">
    <cfRule type="cellIs" priority="1" operator="greaterThanOrEqual" dxfId="0">
      <formula>0.9</formula>
    </cfRule>
    <cfRule type="cellIs" priority="2" operator="lessThan" dxfId="1">
      <formula>0.9</formula>
    </cfRule>
  </conditionalFormatting>
  <conditionalFormatting sqref="E43">
    <cfRule type="cellIs" priority="3" operator="greaterThanOrEqual" dxfId="0">
      <formula>0.9</formula>
    </cfRule>
    <cfRule type="cellIs" priority="4" operator="lessThan" dxfId="1">
      <formula>0.9</formula>
    </cfRule>
  </conditionalFormatting>
  <dataValidations count="1">
    <dataValidation sqref="B5 B6 B7 B8 B9 B12 B13 B14 B15 B16 B19 B20 B21 B22 B23 B26 B27 B28 B29 B30 B33 B34 B35 B36 B37" showDropDown="0" showInputMessage="0" showErrorMessage="0" allowBlank="1" type="list">
      <formula1>=Alimentos!$A$5:$A$83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8" customWidth="1" min="3" max="3"/>
    <col width="10" customWidth="1" min="4" max="4"/>
    <col width="9" customWidth="1" min="5" max="5"/>
    <col width="9" customWidth="1" min="6" max="6"/>
    <col width="13" customWidth="1" min="7" max="7"/>
    <col width="9" customWidth="1" min="8" max="8"/>
  </cols>
  <sheetData>
    <row r="1">
      <c r="A1" s="1" t="inlineStr">
        <is>
          <t>Alimentos</t>
        </is>
      </c>
    </row>
    <row r="2">
      <c r="A2" s="2" t="inlineStr">
        <is>
          <t>Valores por 100 g de alimento listo para comer. Los marcados con * son estimaciones para alimentos chilenos. Puedes agregar los tuyos en las filas vacías.</t>
        </is>
      </c>
    </row>
    <row r="4">
      <c r="A4" s="3" t="inlineStr">
        <is>
          <t>Alimento</t>
        </is>
      </c>
      <c r="B4" s="3" t="inlineStr">
        <is>
          <t>Porción (g)</t>
        </is>
      </c>
      <c r="C4" s="3" t="inlineStr">
        <is>
          <t>Porción habitual</t>
        </is>
      </c>
      <c r="D4" s="3" t="inlineStr">
        <is>
          <t>Proteína</t>
        </is>
      </c>
      <c r="E4" s="3" t="inlineStr">
        <is>
          <t>Fibra</t>
        </is>
      </c>
      <c r="F4" s="3" t="inlineStr">
        <is>
          <t>Grasa</t>
        </is>
      </c>
      <c r="G4" s="3" t="inlineStr">
        <is>
          <t>Carbohidratos</t>
        </is>
      </c>
      <c r="H4" s="3" t="inlineStr">
        <is>
          <t>kcal</t>
        </is>
      </c>
    </row>
    <row r="5">
      <c r="A5" s="14" t="inlineStr">
        <is>
          <t>Huevo entero</t>
        </is>
      </c>
      <c r="B5" s="14" t="n">
        <v>50</v>
      </c>
      <c r="C5" s="14" t="inlineStr">
        <is>
          <t>1 unidad</t>
        </is>
      </c>
      <c r="D5" s="14" t="n">
        <v>12.6</v>
      </c>
      <c r="E5" s="14" t="n">
        <v>0</v>
      </c>
      <c r="F5" s="14" t="n">
        <v>9.5</v>
      </c>
      <c r="G5" s="14" t="n">
        <v>0.7</v>
      </c>
      <c r="H5" s="14" t="n">
        <v>143</v>
      </c>
    </row>
    <row r="6">
      <c r="A6" s="14" t="inlineStr">
        <is>
          <t>Clara de huevo</t>
        </is>
      </c>
      <c r="B6" s="14" t="n">
        <v>33</v>
      </c>
      <c r="C6" s="14" t="inlineStr">
        <is>
          <t>1 clara</t>
        </is>
      </c>
      <c r="D6" s="14" t="n">
        <v>10.9</v>
      </c>
      <c r="E6" s="14" t="n">
        <v>0</v>
      </c>
      <c r="F6" s="14" t="n">
        <v>0.2</v>
      </c>
      <c r="G6" s="14" t="n">
        <v>0.7</v>
      </c>
      <c r="H6" s="14" t="n">
        <v>52</v>
      </c>
    </row>
    <row r="7">
      <c r="A7" s="14" t="inlineStr">
        <is>
          <t>Pechuga de pollo, cocida</t>
        </is>
      </c>
      <c r="B7" s="14" t="n">
        <v>120</v>
      </c>
      <c r="C7" s="14" t="inlineStr">
        <is>
          <t>1 filete</t>
        </is>
      </c>
      <c r="D7" s="14" t="n">
        <v>31</v>
      </c>
      <c r="E7" s="14" t="n">
        <v>0</v>
      </c>
      <c r="F7" s="14" t="n">
        <v>3.6</v>
      </c>
      <c r="G7" s="14" t="n">
        <v>0</v>
      </c>
      <c r="H7" s="14" t="n">
        <v>165</v>
      </c>
    </row>
    <row r="8">
      <c r="A8" s="14" t="inlineStr">
        <is>
          <t>Trutro de pollo sin piel, cocido</t>
        </is>
      </c>
      <c r="B8" s="14" t="n">
        <v>120</v>
      </c>
      <c r="C8" s="14" t="inlineStr">
        <is>
          <t>1 trutro</t>
        </is>
      </c>
      <c r="D8" s="14" t="n">
        <v>26</v>
      </c>
      <c r="E8" s="14" t="n">
        <v>0</v>
      </c>
      <c r="F8" s="14" t="n">
        <v>8</v>
      </c>
      <c r="G8" s="14" t="n">
        <v>0</v>
      </c>
      <c r="H8" s="14" t="n">
        <v>180</v>
      </c>
    </row>
    <row r="9">
      <c r="A9" s="14" t="inlineStr">
        <is>
          <t>Vacuno magro (posta), cocido</t>
        </is>
      </c>
      <c r="B9" s="14" t="n">
        <v>120</v>
      </c>
      <c r="C9" s="14" t="inlineStr">
        <is>
          <t>1 bistec</t>
        </is>
      </c>
      <c r="D9" s="14" t="n">
        <v>29</v>
      </c>
      <c r="E9" s="14" t="n">
        <v>0</v>
      </c>
      <c r="F9" s="14" t="n">
        <v>7</v>
      </c>
      <c r="G9" s="14" t="n">
        <v>0</v>
      </c>
      <c r="H9" s="14" t="n">
        <v>185</v>
      </c>
    </row>
    <row r="10">
      <c r="A10" s="14" t="inlineStr">
        <is>
          <t>Carne molida 10% grasa, cocida</t>
        </is>
      </c>
      <c r="B10" s="14" t="n">
        <v>120</v>
      </c>
      <c r="C10" s="14" t="inlineStr">
        <is>
          <t>1 porción</t>
        </is>
      </c>
      <c r="D10" s="14" t="n">
        <v>26</v>
      </c>
      <c r="E10" s="14" t="n">
        <v>0</v>
      </c>
      <c r="F10" s="14" t="n">
        <v>11</v>
      </c>
      <c r="G10" s="14" t="n">
        <v>0</v>
      </c>
      <c r="H10" s="14" t="n">
        <v>217</v>
      </c>
    </row>
    <row r="11">
      <c r="A11" s="14" t="inlineStr">
        <is>
          <t>Lomo de cerdo, cocido</t>
        </is>
      </c>
      <c r="B11" s="14" t="n">
        <v>120</v>
      </c>
      <c r="C11" s="14" t="inlineStr">
        <is>
          <t>1 chuleta</t>
        </is>
      </c>
      <c r="D11" s="14" t="n">
        <v>27</v>
      </c>
      <c r="E11" s="14" t="n">
        <v>0</v>
      </c>
      <c r="F11" s="14" t="n">
        <v>6</v>
      </c>
      <c r="G11" s="14" t="n">
        <v>0</v>
      </c>
      <c r="H11" s="14" t="n">
        <v>170</v>
      </c>
    </row>
    <row r="12">
      <c r="A12" s="14" t="inlineStr">
        <is>
          <t>Salmón, cocido</t>
        </is>
      </c>
      <c r="B12" s="14" t="n">
        <v>120</v>
      </c>
      <c r="C12" s="14" t="inlineStr">
        <is>
          <t>1 filete</t>
        </is>
      </c>
      <c r="D12" s="14" t="n">
        <v>25</v>
      </c>
      <c r="E12" s="14" t="n">
        <v>0</v>
      </c>
      <c r="F12" s="14" t="n">
        <v>12</v>
      </c>
      <c r="G12" s="14" t="n">
        <v>0</v>
      </c>
      <c r="H12" s="14" t="n">
        <v>206</v>
      </c>
    </row>
    <row r="13">
      <c r="A13" s="14" t="inlineStr">
        <is>
          <t>Merluza, cocida</t>
        </is>
      </c>
      <c r="B13" s="14" t="n">
        <v>120</v>
      </c>
      <c r="C13" s="14" t="inlineStr">
        <is>
          <t>1 filete</t>
        </is>
      </c>
      <c r="D13" s="14" t="n">
        <v>20</v>
      </c>
      <c r="E13" s="14" t="n">
        <v>0</v>
      </c>
      <c r="F13" s="14" t="n">
        <v>1.5</v>
      </c>
      <c r="G13" s="14" t="n">
        <v>0</v>
      </c>
      <c r="H13" s="14" t="n">
        <v>95</v>
      </c>
    </row>
    <row r="14">
      <c r="A14" s="14" t="inlineStr">
        <is>
          <t>Atún en agua, escurrido</t>
        </is>
      </c>
      <c r="B14" s="14" t="n">
        <v>80</v>
      </c>
      <c r="C14" s="14" t="inlineStr">
        <is>
          <t>1 lata chica</t>
        </is>
      </c>
      <c r="D14" s="14" t="n">
        <v>25</v>
      </c>
      <c r="E14" s="14" t="n">
        <v>0</v>
      </c>
      <c r="F14" s="14" t="n">
        <v>1</v>
      </c>
      <c r="G14" s="14" t="n">
        <v>0</v>
      </c>
      <c r="H14" s="14" t="n">
        <v>116</v>
      </c>
    </row>
    <row r="15">
      <c r="A15" s="14" t="inlineStr">
        <is>
          <t>Jurel en lata, escurrido *</t>
        </is>
      </c>
      <c r="B15" s="14" t="n">
        <v>80</v>
      </c>
      <c r="C15" s="14" t="inlineStr">
        <is>
          <t>1/2 lata</t>
        </is>
      </c>
      <c r="D15" s="14" t="n">
        <v>21</v>
      </c>
      <c r="E15" s="14" t="n">
        <v>0</v>
      </c>
      <c r="F15" s="14" t="n">
        <v>8</v>
      </c>
      <c r="G15" s="14" t="n">
        <v>0</v>
      </c>
      <c r="H15" s="14" t="n">
        <v>160</v>
      </c>
    </row>
    <row r="16">
      <c r="A16" s="14" t="inlineStr">
        <is>
          <t>Jamón de pavo</t>
        </is>
      </c>
      <c r="B16" s="14" t="n">
        <v>30</v>
      </c>
      <c r="C16" s="14" t="inlineStr">
        <is>
          <t>2 láminas</t>
        </is>
      </c>
      <c r="D16" s="14" t="n">
        <v>17</v>
      </c>
      <c r="E16" s="14" t="n">
        <v>0</v>
      </c>
      <c r="F16" s="14" t="n">
        <v>2</v>
      </c>
      <c r="G16" s="14" t="n">
        <v>2</v>
      </c>
      <c r="H16" s="14" t="n">
        <v>100</v>
      </c>
    </row>
    <row r="17">
      <c r="A17" s="14" t="inlineStr">
        <is>
          <t>Queso fresco *</t>
        </is>
      </c>
      <c r="B17" s="14" t="n">
        <v>30</v>
      </c>
      <c r="C17" s="14" t="inlineStr">
        <is>
          <t>1 rebanada</t>
        </is>
      </c>
      <c r="D17" s="14" t="n">
        <v>17</v>
      </c>
      <c r="E17" s="14" t="n">
        <v>0</v>
      </c>
      <c r="F17" s="14" t="n">
        <v>13</v>
      </c>
      <c r="G17" s="14" t="n">
        <v>3</v>
      </c>
      <c r="H17" s="14" t="n">
        <v>200</v>
      </c>
    </row>
    <row r="18">
      <c r="A18" s="14" t="inlineStr">
        <is>
          <t>Quesillo *</t>
        </is>
      </c>
      <c r="B18" s="14" t="n">
        <v>50</v>
      </c>
      <c r="C18" s="14" t="inlineStr">
        <is>
          <t>1 rebanada gruesa</t>
        </is>
      </c>
      <c r="D18" s="14" t="n">
        <v>11</v>
      </c>
      <c r="E18" s="14" t="n">
        <v>0</v>
      </c>
      <c r="F18" s="14" t="n">
        <v>8</v>
      </c>
      <c r="G18" s="14" t="n">
        <v>3</v>
      </c>
      <c r="H18" s="14" t="n">
        <v>130</v>
      </c>
    </row>
    <row r="19">
      <c r="A19" s="14" t="inlineStr">
        <is>
          <t>Queso mantecoso o gauda</t>
        </is>
      </c>
      <c r="B19" s="14" t="n">
        <v>20</v>
      </c>
      <c r="C19" s="14" t="inlineStr">
        <is>
          <t>1 lámina</t>
        </is>
      </c>
      <c r="D19" s="14" t="n">
        <v>25</v>
      </c>
      <c r="E19" s="14" t="n">
        <v>0</v>
      </c>
      <c r="F19" s="14" t="n">
        <v>27</v>
      </c>
      <c r="G19" s="14" t="n">
        <v>2</v>
      </c>
      <c r="H19" s="14" t="n">
        <v>356</v>
      </c>
    </row>
    <row r="20">
      <c r="A20" s="14" t="inlineStr">
        <is>
          <t>Queso cottage</t>
        </is>
      </c>
      <c r="B20" s="14" t="n">
        <v>100</v>
      </c>
      <c r="C20" s="14" t="inlineStr">
        <is>
          <t>1/2 taza</t>
        </is>
      </c>
      <c r="D20" s="14" t="n">
        <v>11</v>
      </c>
      <c r="E20" s="14" t="n">
        <v>0</v>
      </c>
      <c r="F20" s="14" t="n">
        <v>4.3</v>
      </c>
      <c r="G20" s="14" t="n">
        <v>3.4</v>
      </c>
      <c r="H20" s="14" t="n">
        <v>98</v>
      </c>
    </row>
    <row r="21">
      <c r="A21" s="14" t="inlineStr">
        <is>
          <t>Yogur natural</t>
        </is>
      </c>
      <c r="B21" s="14" t="n">
        <v>150</v>
      </c>
      <c r="C21" s="14" t="inlineStr">
        <is>
          <t>1 pote</t>
        </is>
      </c>
      <c r="D21" s="14" t="n">
        <v>3.5</v>
      </c>
      <c r="E21" s="14" t="n">
        <v>0</v>
      </c>
      <c r="F21" s="14" t="n">
        <v>3.3</v>
      </c>
      <c r="G21" s="14" t="n">
        <v>4.7</v>
      </c>
      <c r="H21" s="14" t="n">
        <v>61</v>
      </c>
    </row>
    <row r="22">
      <c r="A22" s="14" t="inlineStr">
        <is>
          <t>Yogur griego natural descremado</t>
        </is>
      </c>
      <c r="B22" s="14" t="n">
        <v>150</v>
      </c>
      <c r="C22" s="14" t="inlineStr">
        <is>
          <t>1 pote</t>
        </is>
      </c>
      <c r="D22" s="14" t="n">
        <v>10</v>
      </c>
      <c r="E22" s="14" t="n">
        <v>0</v>
      </c>
      <c r="F22" s="14" t="n">
        <v>0.4</v>
      </c>
      <c r="G22" s="14" t="n">
        <v>3.6</v>
      </c>
      <c r="H22" s="14" t="n">
        <v>59</v>
      </c>
    </row>
    <row r="23">
      <c r="A23" s="14" t="inlineStr">
        <is>
          <t>Leche semidescremada</t>
        </is>
      </c>
      <c r="B23" s="14" t="n">
        <v>200</v>
      </c>
      <c r="C23" s="14" t="inlineStr">
        <is>
          <t>1 taza</t>
        </is>
      </c>
      <c r="D23" s="14" t="n">
        <v>3.3</v>
      </c>
      <c r="E23" s="14" t="n">
        <v>0</v>
      </c>
      <c r="F23" s="14" t="n">
        <v>1.5</v>
      </c>
      <c r="G23" s="14" t="n">
        <v>4.8</v>
      </c>
      <c r="H23" s="14" t="n">
        <v>46</v>
      </c>
    </row>
    <row r="24">
      <c r="A24" s="14" t="inlineStr">
        <is>
          <t>Bebida de soya sin azúcar</t>
        </is>
      </c>
      <c r="B24" s="14" t="n">
        <v>200</v>
      </c>
      <c r="C24" s="14" t="inlineStr">
        <is>
          <t>1 taza</t>
        </is>
      </c>
      <c r="D24" s="14" t="n">
        <v>3.3</v>
      </c>
      <c r="E24" s="14" t="n">
        <v>0.6</v>
      </c>
      <c r="F24" s="14" t="n">
        <v>1.8</v>
      </c>
      <c r="G24" s="14" t="n">
        <v>3</v>
      </c>
      <c r="H24" s="14" t="n">
        <v>43</v>
      </c>
    </row>
    <row r="25">
      <c r="A25" s="14" t="inlineStr">
        <is>
          <t>Proteína de suero en polvo</t>
        </is>
      </c>
      <c r="B25" s="14" t="n">
        <v>30</v>
      </c>
      <c r="C25" s="14" t="inlineStr">
        <is>
          <t>1 medida</t>
        </is>
      </c>
      <c r="D25" s="14" t="n">
        <v>78</v>
      </c>
      <c r="E25" s="14" t="n">
        <v>0</v>
      </c>
      <c r="F25" s="14" t="n">
        <v>5</v>
      </c>
      <c r="G25" s="14" t="n">
        <v>8</v>
      </c>
      <c r="H25" s="14" t="n">
        <v>380</v>
      </c>
    </row>
    <row r="26">
      <c r="A26" s="14" t="inlineStr">
        <is>
          <t>Lentejas, cocidas</t>
        </is>
      </c>
      <c r="B26" s="14" t="n">
        <v>150</v>
      </c>
      <c r="C26" s="14" t="inlineStr">
        <is>
          <t>3/4 taza</t>
        </is>
      </c>
      <c r="D26" s="14" t="n">
        <v>9</v>
      </c>
      <c r="E26" s="14" t="n">
        <v>7.9</v>
      </c>
      <c r="F26" s="14" t="n">
        <v>0.4</v>
      </c>
      <c r="G26" s="14" t="n">
        <v>20</v>
      </c>
      <c r="H26" s="14" t="n">
        <v>116</v>
      </c>
    </row>
    <row r="27">
      <c r="A27" s="14" t="inlineStr">
        <is>
          <t>Porotos negros, cocidos</t>
        </is>
      </c>
      <c r="B27" s="14" t="n">
        <v>150</v>
      </c>
      <c r="C27" s="14" t="inlineStr">
        <is>
          <t>3/4 taza</t>
        </is>
      </c>
      <c r="D27" s="14" t="n">
        <v>8.9</v>
      </c>
      <c r="E27" s="14" t="n">
        <v>8.699999999999999</v>
      </c>
      <c r="F27" s="14" t="n">
        <v>0.5</v>
      </c>
      <c r="G27" s="14" t="n">
        <v>23.7</v>
      </c>
      <c r="H27" s="14" t="n">
        <v>132</v>
      </c>
    </row>
    <row r="28">
      <c r="A28" s="14" t="inlineStr">
        <is>
          <t>Porotos bayos o coscorrón, cocidos *</t>
        </is>
      </c>
      <c r="B28" s="14" t="n">
        <v>150</v>
      </c>
      <c r="C28" s="14" t="inlineStr">
        <is>
          <t>3/4 taza</t>
        </is>
      </c>
      <c r="D28" s="14" t="n">
        <v>9</v>
      </c>
      <c r="E28" s="14" t="n">
        <v>9</v>
      </c>
      <c r="F28" s="14" t="n">
        <v>0.7</v>
      </c>
      <c r="G28" s="14" t="n">
        <v>26</v>
      </c>
      <c r="H28" s="14" t="n">
        <v>143</v>
      </c>
    </row>
    <row r="29">
      <c r="A29" s="14" t="inlineStr">
        <is>
          <t>Garbanzos, cocidos</t>
        </is>
      </c>
      <c r="B29" s="14" t="n">
        <v>150</v>
      </c>
      <c r="C29" s="14" t="inlineStr">
        <is>
          <t>3/4 taza</t>
        </is>
      </c>
      <c r="D29" s="14" t="n">
        <v>8.9</v>
      </c>
      <c r="E29" s="14" t="n">
        <v>7.6</v>
      </c>
      <c r="F29" s="14" t="n">
        <v>2.6</v>
      </c>
      <c r="G29" s="14" t="n">
        <v>27</v>
      </c>
      <c r="H29" s="14" t="n">
        <v>164</v>
      </c>
    </row>
    <row r="30">
      <c r="A30" s="14" t="inlineStr">
        <is>
          <t>Arvejas, cocidas</t>
        </is>
      </c>
      <c r="B30" s="14" t="n">
        <v>100</v>
      </c>
      <c r="C30" s="14" t="inlineStr">
        <is>
          <t>1/2 taza</t>
        </is>
      </c>
      <c r="D30" s="14" t="n">
        <v>5.4</v>
      </c>
      <c r="E30" s="14" t="n">
        <v>5.5</v>
      </c>
      <c r="F30" s="14" t="n">
        <v>0.2</v>
      </c>
      <c r="G30" s="14" t="n">
        <v>15.6</v>
      </c>
      <c r="H30" s="14" t="n">
        <v>84</v>
      </c>
    </row>
    <row r="31">
      <c r="A31" s="14" t="inlineStr">
        <is>
          <t>Tofu firme</t>
        </is>
      </c>
      <c r="B31" s="14" t="n">
        <v>100</v>
      </c>
      <c r="C31" s="14" t="inlineStr">
        <is>
          <t>1 trozo</t>
        </is>
      </c>
      <c r="D31" s="14" t="n">
        <v>17</v>
      </c>
      <c r="E31" s="14" t="n">
        <v>2</v>
      </c>
      <c r="F31" s="14" t="n">
        <v>9</v>
      </c>
      <c r="G31" s="14" t="n">
        <v>3</v>
      </c>
      <c r="H31" s="14" t="n">
        <v>144</v>
      </c>
    </row>
    <row r="32">
      <c r="A32" s="14" t="inlineStr">
        <is>
          <t>Edamame</t>
        </is>
      </c>
      <c r="B32" s="14" t="n">
        <v>100</v>
      </c>
      <c r="C32" s="14" t="inlineStr">
        <is>
          <t>2/3 taza</t>
        </is>
      </c>
      <c r="D32" s="14" t="n">
        <v>11.9</v>
      </c>
      <c r="E32" s="14" t="n">
        <v>5.2</v>
      </c>
      <c r="F32" s="14" t="n">
        <v>5.2</v>
      </c>
      <c r="G32" s="14" t="n">
        <v>8.9</v>
      </c>
      <c r="H32" s="14" t="n">
        <v>121</v>
      </c>
    </row>
    <row r="33">
      <c r="A33" s="14" t="inlineStr">
        <is>
          <t>Hummus</t>
        </is>
      </c>
      <c r="B33" s="14" t="n">
        <v>60</v>
      </c>
      <c r="C33" s="14" t="inlineStr">
        <is>
          <t>4 cucharadas</t>
        </is>
      </c>
      <c r="D33" s="14" t="n">
        <v>7.9</v>
      </c>
      <c r="E33" s="14" t="n">
        <v>6</v>
      </c>
      <c r="F33" s="14" t="n">
        <v>9.6</v>
      </c>
      <c r="G33" s="14" t="n">
        <v>14</v>
      </c>
      <c r="H33" s="14" t="n">
        <v>166</v>
      </c>
    </row>
    <row r="34">
      <c r="A34" s="14" t="inlineStr">
        <is>
          <t>Quinoa, cocida</t>
        </is>
      </c>
      <c r="B34" s="14" t="n">
        <v>150</v>
      </c>
      <c r="C34" s="14" t="inlineStr">
        <is>
          <t>3/4 taza</t>
        </is>
      </c>
      <c r="D34" s="14" t="n">
        <v>4.4</v>
      </c>
      <c r="E34" s="14" t="n">
        <v>2.8</v>
      </c>
      <c r="F34" s="14" t="n">
        <v>1.9</v>
      </c>
      <c r="G34" s="14" t="n">
        <v>21.3</v>
      </c>
      <c r="H34" s="14" t="n">
        <v>120</v>
      </c>
    </row>
    <row r="35">
      <c r="A35" s="14" t="inlineStr">
        <is>
          <t>Arroz blanco, cocido</t>
        </is>
      </c>
      <c r="B35" s="14" t="n">
        <v>150</v>
      </c>
      <c r="C35" s="14" t="inlineStr">
        <is>
          <t>3/4 taza</t>
        </is>
      </c>
      <c r="D35" s="14" t="n">
        <v>2.7</v>
      </c>
      <c r="E35" s="14" t="n">
        <v>0.4</v>
      </c>
      <c r="F35" s="14" t="n">
        <v>0.3</v>
      </c>
      <c r="G35" s="14" t="n">
        <v>28</v>
      </c>
      <c r="H35" s="14" t="n">
        <v>130</v>
      </c>
    </row>
    <row r="36">
      <c r="A36" s="14" t="inlineStr">
        <is>
          <t>Arroz integral, cocido</t>
        </is>
      </c>
      <c r="B36" s="14" t="n">
        <v>150</v>
      </c>
      <c r="C36" s="14" t="inlineStr">
        <is>
          <t>3/4 taza</t>
        </is>
      </c>
      <c r="D36" s="14" t="n">
        <v>2.6</v>
      </c>
      <c r="E36" s="14" t="n">
        <v>1.8</v>
      </c>
      <c r="F36" s="14" t="n">
        <v>0.9</v>
      </c>
      <c r="G36" s="14" t="n">
        <v>23</v>
      </c>
      <c r="H36" s="14" t="n">
        <v>112</v>
      </c>
    </row>
    <row r="37">
      <c r="A37" s="14" t="inlineStr">
        <is>
          <t>Fideos, cocidos</t>
        </is>
      </c>
      <c r="B37" s="14" t="n">
        <v>150</v>
      </c>
      <c r="C37" s="14" t="inlineStr">
        <is>
          <t>1 taza</t>
        </is>
      </c>
      <c r="D37" s="14" t="n">
        <v>5.8</v>
      </c>
      <c r="E37" s="14" t="n">
        <v>1.8</v>
      </c>
      <c r="F37" s="14" t="n">
        <v>0.9</v>
      </c>
      <c r="G37" s="14" t="n">
        <v>31</v>
      </c>
      <c r="H37" s="14" t="n">
        <v>158</v>
      </c>
    </row>
    <row r="38">
      <c r="A38" s="14" t="inlineStr">
        <is>
          <t>Fideos integrales, cocidos</t>
        </is>
      </c>
      <c r="B38" s="14" t="n">
        <v>150</v>
      </c>
      <c r="C38" s="14" t="inlineStr">
        <is>
          <t>1 taza</t>
        </is>
      </c>
      <c r="D38" s="14" t="n">
        <v>5.8</v>
      </c>
      <c r="E38" s="14" t="n">
        <v>4.5</v>
      </c>
      <c r="F38" s="14" t="n">
        <v>0.9</v>
      </c>
      <c r="G38" s="14" t="n">
        <v>30</v>
      </c>
      <c r="H38" s="14" t="n">
        <v>149</v>
      </c>
    </row>
    <row r="39">
      <c r="A39" s="14" t="inlineStr">
        <is>
          <t>Pan blanco (marraqueta o hallulla) *</t>
        </is>
      </c>
      <c r="B39" s="14" t="n">
        <v>100</v>
      </c>
      <c r="C39" s="14" t="inlineStr">
        <is>
          <t>1 unidad</t>
        </is>
      </c>
      <c r="D39" s="14" t="n">
        <v>9</v>
      </c>
      <c r="E39" s="14" t="n">
        <v>2.7</v>
      </c>
      <c r="F39" s="14" t="n">
        <v>3.2</v>
      </c>
      <c r="G39" s="14" t="n">
        <v>49</v>
      </c>
      <c r="H39" s="14" t="n">
        <v>265</v>
      </c>
    </row>
    <row r="40">
      <c r="A40" s="14" t="inlineStr">
        <is>
          <t>Pan integral</t>
        </is>
      </c>
      <c r="B40" s="14" t="n">
        <v>60</v>
      </c>
      <c r="C40" s="14" t="inlineStr">
        <is>
          <t>2 rebanadas</t>
        </is>
      </c>
      <c r="D40" s="14" t="n">
        <v>13</v>
      </c>
      <c r="E40" s="14" t="n">
        <v>7</v>
      </c>
      <c r="F40" s="14" t="n">
        <v>3.4</v>
      </c>
      <c r="G40" s="14" t="n">
        <v>41</v>
      </c>
      <c r="H40" s="14" t="n">
        <v>247</v>
      </c>
    </row>
    <row r="41">
      <c r="A41" s="14" t="inlineStr">
        <is>
          <t>Avena</t>
        </is>
      </c>
      <c r="B41" s="14" t="n">
        <v>40</v>
      </c>
      <c r="C41" s="14" t="inlineStr">
        <is>
          <t>4 cucharadas</t>
        </is>
      </c>
      <c r="D41" s="14" t="n">
        <v>13</v>
      </c>
      <c r="E41" s="14" t="n">
        <v>10</v>
      </c>
      <c r="F41" s="14" t="n">
        <v>7</v>
      </c>
      <c r="G41" s="14" t="n">
        <v>66</v>
      </c>
      <c r="H41" s="14" t="n">
        <v>389</v>
      </c>
    </row>
    <row r="42">
      <c r="A42" s="14" t="inlineStr">
        <is>
          <t>Papa, cocida</t>
        </is>
      </c>
      <c r="B42" s="14" t="n">
        <v>150</v>
      </c>
      <c r="C42" s="14" t="inlineStr">
        <is>
          <t>1 mediana</t>
        </is>
      </c>
      <c r="D42" s="14" t="n">
        <v>1.9</v>
      </c>
      <c r="E42" s="14" t="n">
        <v>1.8</v>
      </c>
      <c r="F42" s="14" t="n">
        <v>0.1</v>
      </c>
      <c r="G42" s="14" t="n">
        <v>20</v>
      </c>
      <c r="H42" s="14" t="n">
        <v>87</v>
      </c>
    </row>
    <row r="43">
      <c r="A43" s="14" t="inlineStr">
        <is>
          <t>Choclo, cocido</t>
        </is>
      </c>
      <c r="B43" s="14" t="n">
        <v>100</v>
      </c>
      <c r="C43" s="14" t="inlineStr">
        <is>
          <t>1/2 taza</t>
        </is>
      </c>
      <c r="D43" s="14" t="n">
        <v>3.4</v>
      </c>
      <c r="E43" s="14" t="n">
        <v>2.4</v>
      </c>
      <c r="F43" s="14" t="n">
        <v>1.5</v>
      </c>
      <c r="G43" s="14" t="n">
        <v>21</v>
      </c>
      <c r="H43" s="14" t="n">
        <v>96</v>
      </c>
    </row>
    <row r="44">
      <c r="A44" s="14" t="inlineStr">
        <is>
          <t>Brócoli, cocido</t>
        </is>
      </c>
      <c r="B44" s="14" t="n">
        <v>100</v>
      </c>
      <c r="C44" s="14" t="inlineStr">
        <is>
          <t>1 taza</t>
        </is>
      </c>
      <c r="D44" s="14" t="n">
        <v>2.4</v>
      </c>
      <c r="E44" s="14" t="n">
        <v>3.3</v>
      </c>
      <c r="F44" s="14" t="n">
        <v>0.4</v>
      </c>
      <c r="G44" s="14" t="n">
        <v>7.2</v>
      </c>
      <c r="H44" s="14" t="n">
        <v>35</v>
      </c>
    </row>
    <row r="45">
      <c r="A45" s="14" t="inlineStr">
        <is>
          <t>Espinaca, cocida</t>
        </is>
      </c>
      <c r="B45" s="14" t="n">
        <v>100</v>
      </c>
      <c r="C45" s="14" t="inlineStr">
        <is>
          <t>1/2 taza</t>
        </is>
      </c>
      <c r="D45" s="14" t="n">
        <v>3</v>
      </c>
      <c r="E45" s="14" t="n">
        <v>2.4</v>
      </c>
      <c r="F45" s="14" t="n">
        <v>0.3</v>
      </c>
      <c r="G45" s="14" t="n">
        <v>3.8</v>
      </c>
      <c r="H45" s="14" t="n">
        <v>23</v>
      </c>
    </row>
    <row r="46">
      <c r="A46" s="14" t="inlineStr">
        <is>
          <t>Lechuga</t>
        </is>
      </c>
      <c r="B46" s="14" t="n">
        <v>50</v>
      </c>
      <c r="C46" s="14" t="inlineStr">
        <is>
          <t>1 plato</t>
        </is>
      </c>
      <c r="D46" s="14" t="n">
        <v>1.4</v>
      </c>
      <c r="E46" s="14" t="n">
        <v>1.3</v>
      </c>
      <c r="F46" s="14" t="n">
        <v>0.2</v>
      </c>
      <c r="G46" s="14" t="n">
        <v>2.9</v>
      </c>
      <c r="H46" s="14" t="n">
        <v>15</v>
      </c>
    </row>
    <row r="47">
      <c r="A47" s="14" t="inlineStr">
        <is>
          <t>Tomate</t>
        </is>
      </c>
      <c r="B47" s="14" t="n">
        <v>120</v>
      </c>
      <c r="C47" s="14" t="inlineStr">
        <is>
          <t>1 mediano</t>
        </is>
      </c>
      <c r="D47" s="14" t="n">
        <v>0.9</v>
      </c>
      <c r="E47" s="14" t="n">
        <v>1.2</v>
      </c>
      <c r="F47" s="14" t="n">
        <v>0.2</v>
      </c>
      <c r="G47" s="14" t="n">
        <v>3.9</v>
      </c>
      <c r="H47" s="14" t="n">
        <v>18</v>
      </c>
    </row>
    <row r="48">
      <c r="A48" s="14" t="inlineStr">
        <is>
          <t>Zanahoria, cruda</t>
        </is>
      </c>
      <c r="B48" s="14" t="n">
        <v>80</v>
      </c>
      <c r="C48" s="14" t="inlineStr">
        <is>
          <t>1 mediana</t>
        </is>
      </c>
      <c r="D48" s="14" t="n">
        <v>0.9</v>
      </c>
      <c r="E48" s="14" t="n">
        <v>2.8</v>
      </c>
      <c r="F48" s="14" t="n">
        <v>0.2</v>
      </c>
      <c r="G48" s="14" t="n">
        <v>9.6</v>
      </c>
      <c r="H48" s="14" t="n">
        <v>41</v>
      </c>
    </row>
    <row r="49">
      <c r="A49" s="14" t="inlineStr">
        <is>
          <t>Palta</t>
        </is>
      </c>
      <c r="B49" s="14" t="n">
        <v>50</v>
      </c>
      <c r="C49" s="14" t="inlineStr">
        <is>
          <t>1/4 unidad</t>
        </is>
      </c>
      <c r="D49" s="14" t="n">
        <v>2</v>
      </c>
      <c r="E49" s="14" t="n">
        <v>6.7</v>
      </c>
      <c r="F49" s="14" t="n">
        <v>14.7</v>
      </c>
      <c r="G49" s="14" t="n">
        <v>8.5</v>
      </c>
      <c r="H49" s="14" t="n">
        <v>160</v>
      </c>
    </row>
    <row r="50">
      <c r="A50" s="14" t="inlineStr">
        <is>
          <t>Manzana</t>
        </is>
      </c>
      <c r="B50" s="14" t="n">
        <v>150</v>
      </c>
      <c r="C50" s="14" t="inlineStr">
        <is>
          <t>1 mediana</t>
        </is>
      </c>
      <c r="D50" s="14" t="n">
        <v>0.3</v>
      </c>
      <c r="E50" s="14" t="n">
        <v>2.4</v>
      </c>
      <c r="F50" s="14" t="n">
        <v>0.2</v>
      </c>
      <c r="G50" s="14" t="n">
        <v>13.8</v>
      </c>
      <c r="H50" s="14" t="n">
        <v>52</v>
      </c>
    </row>
    <row r="51">
      <c r="A51" s="14" t="inlineStr">
        <is>
          <t>Plátano</t>
        </is>
      </c>
      <c r="B51" s="14" t="n">
        <v>120</v>
      </c>
      <c r="C51" s="14" t="inlineStr">
        <is>
          <t>1 mediano</t>
        </is>
      </c>
      <c r="D51" s="14" t="n">
        <v>1.1</v>
      </c>
      <c r="E51" s="14" t="n">
        <v>2.6</v>
      </c>
      <c r="F51" s="14" t="n">
        <v>0.3</v>
      </c>
      <c r="G51" s="14" t="n">
        <v>22.8</v>
      </c>
      <c r="H51" s="14" t="n">
        <v>89</v>
      </c>
    </row>
    <row r="52">
      <c r="A52" s="14" t="inlineStr">
        <is>
          <t>Naranja</t>
        </is>
      </c>
      <c r="B52" s="14" t="n">
        <v>150</v>
      </c>
      <c r="C52" s="14" t="inlineStr">
        <is>
          <t>1 mediana</t>
        </is>
      </c>
      <c r="D52" s="14" t="n">
        <v>0.9</v>
      </c>
      <c r="E52" s="14" t="n">
        <v>2.4</v>
      </c>
      <c r="F52" s="14" t="n">
        <v>0.1</v>
      </c>
      <c r="G52" s="14" t="n">
        <v>11.8</v>
      </c>
      <c r="H52" s="14" t="n">
        <v>47</v>
      </c>
    </row>
    <row r="53">
      <c r="A53" s="14" t="inlineStr">
        <is>
          <t>Pera</t>
        </is>
      </c>
      <c r="B53" s="14" t="n">
        <v>150</v>
      </c>
      <c r="C53" s="14" t="inlineStr">
        <is>
          <t>1 mediana</t>
        </is>
      </c>
      <c r="D53" s="14" t="n">
        <v>0.4</v>
      </c>
      <c r="E53" s="14" t="n">
        <v>3.1</v>
      </c>
      <c r="F53" s="14" t="n">
        <v>0.1</v>
      </c>
      <c r="G53" s="14" t="n">
        <v>15.2</v>
      </c>
      <c r="H53" s="14" t="n">
        <v>57</v>
      </c>
    </row>
    <row r="54">
      <c r="A54" s="14" t="inlineStr">
        <is>
          <t>Kiwi</t>
        </is>
      </c>
      <c r="B54" s="14" t="n">
        <v>75</v>
      </c>
      <c r="C54" s="14" t="inlineStr">
        <is>
          <t>1 unidad</t>
        </is>
      </c>
      <c r="D54" s="14" t="n">
        <v>1.1</v>
      </c>
      <c r="E54" s="14" t="n">
        <v>3</v>
      </c>
      <c r="F54" s="14" t="n">
        <v>0.5</v>
      </c>
      <c r="G54" s="14" t="n">
        <v>14.7</v>
      </c>
      <c r="H54" s="14" t="n">
        <v>61</v>
      </c>
    </row>
    <row r="55">
      <c r="A55" s="14" t="inlineStr">
        <is>
          <t>Frutillas</t>
        </is>
      </c>
      <c r="B55" s="14" t="n">
        <v>150</v>
      </c>
      <c r="C55" s="14" t="inlineStr">
        <is>
          <t>1 taza</t>
        </is>
      </c>
      <c r="D55" s="14" t="n">
        <v>0.7</v>
      </c>
      <c r="E55" s="14" t="n">
        <v>2</v>
      </c>
      <c r="F55" s="14" t="n">
        <v>0.3</v>
      </c>
      <c r="G55" s="14" t="n">
        <v>7.7</v>
      </c>
      <c r="H55" s="14" t="n">
        <v>32</v>
      </c>
    </row>
    <row r="56">
      <c r="A56" s="14" t="inlineStr">
        <is>
          <t>Arándanos</t>
        </is>
      </c>
      <c r="B56" s="14" t="n">
        <v>100</v>
      </c>
      <c r="C56" s="14" t="inlineStr">
        <is>
          <t>2/3 taza</t>
        </is>
      </c>
      <c r="D56" s="14" t="n">
        <v>0.7</v>
      </c>
      <c r="E56" s="14" t="n">
        <v>2.4</v>
      </c>
      <c r="F56" s="14" t="n">
        <v>0.3</v>
      </c>
      <c r="G56" s="14" t="n">
        <v>14.5</v>
      </c>
      <c r="H56" s="14" t="n">
        <v>57</v>
      </c>
    </row>
    <row r="57">
      <c r="A57" s="14" t="inlineStr">
        <is>
          <t>Nueces</t>
        </is>
      </c>
      <c r="B57" s="14" t="n">
        <v>30</v>
      </c>
      <c r="C57" s="14" t="inlineStr">
        <is>
          <t>1 puñado</t>
        </is>
      </c>
      <c r="D57" s="14" t="n">
        <v>15</v>
      </c>
      <c r="E57" s="14" t="n">
        <v>6.7</v>
      </c>
      <c r="F57" s="14" t="n">
        <v>65</v>
      </c>
      <c r="G57" s="14" t="n">
        <v>14</v>
      </c>
      <c r="H57" s="14" t="n">
        <v>654</v>
      </c>
    </row>
    <row r="58">
      <c r="A58" s="14" t="inlineStr">
        <is>
          <t>Almendras</t>
        </is>
      </c>
      <c r="B58" s="14" t="n">
        <v>30</v>
      </c>
      <c r="C58" s="14" t="inlineStr">
        <is>
          <t>1 puñado</t>
        </is>
      </c>
      <c r="D58" s="14" t="n">
        <v>21</v>
      </c>
      <c r="E58" s="14" t="n">
        <v>12.5</v>
      </c>
      <c r="F58" s="14" t="n">
        <v>50</v>
      </c>
      <c r="G58" s="14" t="n">
        <v>22</v>
      </c>
      <c r="H58" s="14" t="n">
        <v>579</v>
      </c>
    </row>
    <row r="59">
      <c r="A59" s="14" t="inlineStr">
        <is>
          <t>Maní</t>
        </is>
      </c>
      <c r="B59" s="14" t="n">
        <v>30</v>
      </c>
      <c r="C59" s="14" t="inlineStr">
        <is>
          <t>1 puñado</t>
        </is>
      </c>
      <c r="D59" s="14" t="n">
        <v>26</v>
      </c>
      <c r="E59" s="14" t="n">
        <v>8.5</v>
      </c>
      <c r="F59" s="14" t="n">
        <v>49</v>
      </c>
      <c r="G59" s="14" t="n">
        <v>16</v>
      </c>
      <c r="H59" s="14" t="n">
        <v>567</v>
      </c>
    </row>
    <row r="60">
      <c r="A60" s="14" t="inlineStr">
        <is>
          <t>Mantequilla de maní</t>
        </is>
      </c>
      <c r="B60" s="14" t="n">
        <v>16</v>
      </c>
      <c r="C60" s="14" t="inlineStr">
        <is>
          <t>1 cucharada</t>
        </is>
      </c>
      <c r="D60" s="14" t="n">
        <v>25</v>
      </c>
      <c r="E60" s="14" t="n">
        <v>6</v>
      </c>
      <c r="F60" s="14" t="n">
        <v>50</v>
      </c>
      <c r="G60" s="14" t="n">
        <v>20</v>
      </c>
      <c r="H60" s="14" t="n">
        <v>588</v>
      </c>
    </row>
    <row r="61">
      <c r="A61" s="14" t="inlineStr">
        <is>
          <t>Semillas de chía</t>
        </is>
      </c>
      <c r="B61" s="14" t="n">
        <v>15</v>
      </c>
      <c r="C61" s="14" t="inlineStr">
        <is>
          <t>1 cucharada</t>
        </is>
      </c>
      <c r="D61" s="14" t="n">
        <v>17</v>
      </c>
      <c r="E61" s="14" t="n">
        <v>34</v>
      </c>
      <c r="F61" s="14" t="n">
        <v>31</v>
      </c>
      <c r="G61" s="14" t="n">
        <v>42</v>
      </c>
      <c r="H61" s="14" t="n">
        <v>486</v>
      </c>
    </row>
    <row r="62">
      <c r="A62" s="14" t="inlineStr">
        <is>
          <t>Linaza molida</t>
        </is>
      </c>
      <c r="B62" s="14" t="n">
        <v>10</v>
      </c>
      <c r="C62" s="14" t="inlineStr">
        <is>
          <t>1 cucharada</t>
        </is>
      </c>
      <c r="D62" s="14" t="n">
        <v>18</v>
      </c>
      <c r="E62" s="14" t="n">
        <v>27</v>
      </c>
      <c r="F62" s="14" t="n">
        <v>42</v>
      </c>
      <c r="G62" s="14" t="n">
        <v>29</v>
      </c>
      <c r="H62" s="14" t="n">
        <v>534</v>
      </c>
    </row>
    <row r="63">
      <c r="A63" s="14" t="inlineStr">
        <is>
          <t>Aceite de oliva</t>
        </is>
      </c>
      <c r="B63" s="14" t="n">
        <v>10</v>
      </c>
      <c r="C63" s="14" t="inlineStr">
        <is>
          <t>1 cucharada</t>
        </is>
      </c>
      <c r="D63" s="14" t="n">
        <v>0</v>
      </c>
      <c r="E63" s="14" t="n">
        <v>0</v>
      </c>
      <c r="F63" s="14" t="n">
        <v>100</v>
      </c>
      <c r="G63" s="14" t="n">
        <v>0</v>
      </c>
      <c r="H63" s="14" t="n">
        <v>884</v>
      </c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9" t="inlineStr">
        <is>
          <t>Fuentes</t>
        </is>
      </c>
    </row>
    <row r="2">
      <c r="A2" s="20" t="inlineStr">
        <is>
          <t>Borrador de Claude para Diseña tu Jubilación, 24/09/2026. Lo revisa el médico aliado o una nutricionista antes de entregarlo.</t>
        </is>
      </c>
    </row>
    <row r="3">
      <c r="A3" s="10" t="inlineStr"/>
    </row>
    <row r="4">
      <c r="A4" s="21" t="inlineStr">
        <is>
          <t>Proteína</t>
        </is>
      </c>
    </row>
    <row r="5">
      <c r="A5" s="10" t="inlineStr">
        <is>
          <t>Institute of Medicine (IOM). Dietary Reference Intakes for Energy, Carbohydrate, Fiber, Fat, Fatty Acids, Cholesterol, Protein, and Amino Acids. 2005. RDA 0,8 g/kg.</t>
        </is>
      </c>
    </row>
    <row r="6">
      <c r="A6" s="10" t="inlineStr">
        <is>
          <t>Bauer J. y col. Evidence-based recommendations for optimal dietary protein intake in older people: a position paper from the PROT-AGE Study Group. J Am Med Dir Assoc. 2013.</t>
        </is>
      </c>
    </row>
    <row r="7">
      <c r="A7" s="10" t="inlineStr">
        <is>
          <t>Deutz NE y col. Protein intake and exercise for optimal muscle function with aging: recommendations from the ESPEN Expert Group. Clin Nutr. 2014.</t>
        </is>
      </c>
    </row>
    <row r="8">
      <c r="A8" s="10" t="inlineStr">
        <is>
          <t>Reparto por comida (25 a 30 g): PROT-AGE y ESPEN, a partir de estudios de síntesis de proteína muscular. Nivel C.</t>
        </is>
      </c>
    </row>
    <row r="9">
      <c r="A9" s="10" t="inlineStr">
        <is>
          <t>1,6 g/kg: opinión de expertos en longevidad y metaanálisis de entrenamiento de fuerza (Morton y col., Br J Sports Med 2018) en adultos más jóvenes. Nivel E para este público.</t>
        </is>
      </c>
    </row>
    <row r="10">
      <c r="A10" s="10" t="inlineStr"/>
    </row>
    <row r="11">
      <c r="A11" s="21" t="inlineStr">
        <is>
          <t>Fibra</t>
        </is>
      </c>
    </row>
    <row r="12">
      <c r="A12" s="10" t="inlineStr">
        <is>
          <t>IOM 2005: ingesta adecuada de 14 g por 1.000 kcal; 30 g (hombres) y 21 g (mujeres) desde los 51 años.</t>
        </is>
      </c>
    </row>
    <row r="13">
      <c r="A13" s="10" t="inlineStr">
        <is>
          <t>OMS: al menos 25 g de fibra al día en adultos (Healthy diet, nota descriptiva).</t>
        </is>
      </c>
    </row>
    <row r="14">
      <c r="A14" s="10" t="inlineStr"/>
    </row>
    <row r="15">
      <c r="A15" s="21" t="inlineStr">
        <is>
          <t>Energía</t>
        </is>
      </c>
    </row>
    <row r="16">
      <c r="A16" s="10" t="inlineStr">
        <is>
          <t>Mifflin MD, St Jeor ST y col. A new predictive equation for resting energy expenditure in healthy individuals. Am J Clin Nutr. 1990.</t>
        </is>
      </c>
    </row>
    <row r="17">
      <c r="A17" s="10" t="inlineStr"/>
    </row>
    <row r="18">
      <c r="A18" s="21" t="inlineStr">
        <is>
          <t>Alimentos</t>
        </is>
      </c>
    </row>
    <row r="19">
      <c r="A19" s="10" t="inlineStr">
        <is>
          <t>USDA FoodData Central (valores aproximados, redondeados). Los marcados con * son estimaciones para alimentos chilenos: verificar con la tabla de composición de alimentos chilena antes de entregar.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</t>
        </is>
      </c>
      <c r="B1" t="inlineStr">
        <is>
          <t>Factor</t>
        </is>
      </c>
      <c r="C1" t="inlineStr">
        <is>
          <t>Perfil</t>
        </is>
      </c>
      <c r="D1" t="inlineStr">
        <is>
          <t>g/kg</t>
        </is>
      </c>
      <c r="E1" t="inlineStr">
        <is>
          <t>Nivel</t>
        </is>
      </c>
      <c r="F1" t="inlineStr">
        <is>
          <t>Fuente</t>
        </is>
      </c>
    </row>
    <row r="2">
      <c r="A2" t="inlineStr">
        <is>
          <t>Sedentaria (casi nada de ejercicio)</t>
        </is>
      </c>
      <c r="B2" t="n">
        <v>1.2</v>
      </c>
      <c r="C2" t="inlineStr">
        <is>
          <t>Mínimo oficial para adultos (0,8 g/kg)</t>
        </is>
      </c>
      <c r="D2" t="n">
        <v>0.8</v>
      </c>
      <c r="E2" t="inlineStr">
        <is>
          <t>G</t>
        </is>
      </c>
      <c r="F2" t="inlineStr">
        <is>
          <t>IOM: ingesta recomendada (RDA) para adultos sanos.</t>
        </is>
      </c>
    </row>
    <row r="3">
      <c r="A3" t="inlineStr">
        <is>
          <t>Liviana (1 a 3 días a la semana)</t>
        </is>
      </c>
      <c r="B3" t="n">
        <v>1.375</v>
      </c>
      <c r="C3" t="inlineStr">
        <is>
          <t>Mayor de 60, sano (1,0 g/kg)</t>
        </is>
      </c>
      <c r="D3" t="n">
        <v>1</v>
      </c>
      <c r="E3" t="inlineStr">
        <is>
          <t>C</t>
        </is>
      </c>
      <c r="F3" t="inlineStr">
        <is>
          <t>PROT-AGE (2013) y ESPEN (2014): 1,0 a 1,2 g/kg en mayores de 65.</t>
        </is>
      </c>
    </row>
    <row r="4">
      <c r="A4" t="inlineStr">
        <is>
          <t>Moderada (3 a 5 días a la semana)</t>
        </is>
      </c>
      <c r="B4" t="n">
        <v>1.55</v>
      </c>
      <c r="C4" t="inlineStr">
        <is>
          <t>Mayor de 60, activo o entrenando fuerza (1,2 g/kg)</t>
        </is>
      </c>
      <c r="D4" t="n">
        <v>1.2</v>
      </c>
      <c r="E4" t="inlineStr">
        <is>
          <t>C</t>
        </is>
      </c>
      <c r="F4" t="inlineStr">
        <is>
          <t>PROT-AGE: 1,2 g/kg o más si hace ejercicio.</t>
        </is>
      </c>
    </row>
    <row r="5">
      <c r="A5" t="inlineStr">
        <is>
          <t>Alta (6 a 7 días a la semana)</t>
        </is>
      </c>
      <c r="B5" t="n">
        <v>1.725</v>
      </c>
      <c r="C5" t="inlineStr">
        <is>
          <t>Enfermedad aguda o crónica, con indicación médica (1,5 g/kg)</t>
        </is>
      </c>
      <c r="D5" t="n">
        <v>1.5</v>
      </c>
      <c r="E5" t="inlineStr">
        <is>
          <t>C</t>
        </is>
      </c>
      <c r="F5" t="inlineStr">
        <is>
          <t>ESPEN: 1,2 a 1,5 g/kg. Solo con indicación médica.</t>
        </is>
      </c>
    </row>
    <row r="6">
      <c r="C6" t="inlineStr">
        <is>
          <t>Enfoque longevidad, entrenando fuerza (1,6 g/kg)</t>
        </is>
      </c>
      <c r="D6" t="n">
        <v>1.6</v>
      </c>
      <c r="E6" t="inlineStr">
        <is>
          <t>E</t>
        </is>
      </c>
      <c r="F6" t="inlineStr">
        <is>
          <t>Opinión de expertos en longevidad; sin consenso de guía.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2026-09-24T17:34:49Z</dcterms:created>
  <dcterms:modified xsi:type="dcterms:W3CDTF">2026-09-24T17:34:49Z</dcterms:modified>
</cp:coreProperties>
</file>